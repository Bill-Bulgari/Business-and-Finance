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TAL\Desktop\Courses\# My Projects\Two-Factor Arbitrage Pricing Theory Model (Excel)\"/>
    </mc:Choice>
  </mc:AlternateContent>
  <xr:revisionPtr revIDLastSave="0" documentId="13_ncr:1_{D8C330D2-C083-4529-B8E5-4F47A48623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eader" sheetId="1" r:id="rId1"/>
    <sheet name="Return Data" sheetId="2" r:id="rId2"/>
    <sheet name="Forecasting Expected Retur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19" i="4"/>
  <c r="N14" i="2" a="1"/>
  <c r="N14" i="2" s="1"/>
  <c r="I185" i="2"/>
  <c r="J185" i="2"/>
  <c r="K185" i="2"/>
  <c r="I186" i="2"/>
  <c r="J186" i="2"/>
  <c r="K186" i="2"/>
  <c r="I187" i="2"/>
  <c r="J187" i="2"/>
  <c r="K187" i="2"/>
  <c r="I188" i="2"/>
  <c r="J188" i="2"/>
  <c r="K188" i="2"/>
  <c r="I189" i="2"/>
  <c r="J189" i="2"/>
  <c r="K189" i="2"/>
  <c r="I190" i="2"/>
  <c r="J190" i="2"/>
  <c r="K190" i="2"/>
  <c r="I191" i="2"/>
  <c r="J191" i="2"/>
  <c r="K191" i="2"/>
  <c r="I192" i="2"/>
  <c r="J192" i="2"/>
  <c r="K192" i="2"/>
  <c r="I193" i="2"/>
  <c r="J193" i="2"/>
  <c r="K193" i="2"/>
  <c r="I194" i="2"/>
  <c r="J194" i="2"/>
  <c r="K194" i="2"/>
  <c r="I195" i="2"/>
  <c r="J195" i="2"/>
  <c r="K195" i="2"/>
  <c r="I196" i="2"/>
  <c r="J196" i="2"/>
  <c r="K196" i="2"/>
  <c r="I197" i="2"/>
  <c r="J197" i="2"/>
  <c r="K197" i="2"/>
  <c r="I198" i="2"/>
  <c r="J198" i="2"/>
  <c r="K198" i="2"/>
  <c r="I199" i="2"/>
  <c r="J199" i="2"/>
  <c r="K199" i="2"/>
  <c r="I200" i="2"/>
  <c r="J200" i="2"/>
  <c r="K200" i="2"/>
  <c r="I201" i="2"/>
  <c r="J201" i="2"/>
  <c r="K201" i="2"/>
  <c r="I202" i="2"/>
  <c r="J202" i="2"/>
  <c r="K202" i="2"/>
  <c r="I203" i="2"/>
  <c r="J203" i="2"/>
  <c r="K203" i="2"/>
  <c r="I204" i="2"/>
  <c r="J204" i="2"/>
  <c r="K204" i="2"/>
  <c r="I205" i="2"/>
  <c r="J205" i="2"/>
  <c r="K205" i="2"/>
  <c r="I206" i="2"/>
  <c r="J206" i="2"/>
  <c r="K206" i="2"/>
  <c r="I207" i="2"/>
  <c r="J207" i="2"/>
  <c r="K207" i="2"/>
  <c r="I208" i="2"/>
  <c r="J208" i="2"/>
  <c r="K208" i="2"/>
  <c r="I209" i="2"/>
  <c r="J209" i="2"/>
  <c r="K209" i="2"/>
  <c r="I210" i="2"/>
  <c r="J210" i="2"/>
  <c r="K210" i="2"/>
  <c r="I211" i="2"/>
  <c r="J211" i="2"/>
  <c r="K211" i="2"/>
  <c r="I212" i="2"/>
  <c r="J212" i="2"/>
  <c r="K212" i="2"/>
  <c r="I213" i="2"/>
  <c r="J213" i="2"/>
  <c r="K213" i="2"/>
  <c r="I214" i="2"/>
  <c r="J214" i="2"/>
  <c r="K214" i="2"/>
  <c r="I215" i="2"/>
  <c r="J215" i="2"/>
  <c r="K215" i="2"/>
  <c r="I216" i="2"/>
  <c r="J216" i="2"/>
  <c r="K216" i="2"/>
  <c r="I217" i="2"/>
  <c r="J217" i="2"/>
  <c r="K217" i="2"/>
  <c r="I218" i="2"/>
  <c r="J218" i="2"/>
  <c r="K218" i="2"/>
  <c r="I219" i="2"/>
  <c r="J219" i="2"/>
  <c r="K219" i="2"/>
  <c r="I220" i="2"/>
  <c r="J220" i="2"/>
  <c r="K220" i="2"/>
  <c r="I221" i="2"/>
  <c r="J221" i="2"/>
  <c r="K221" i="2"/>
  <c r="I222" i="2"/>
  <c r="J222" i="2"/>
  <c r="K222" i="2"/>
  <c r="I223" i="2"/>
  <c r="J223" i="2"/>
  <c r="K223" i="2"/>
  <c r="I224" i="2"/>
  <c r="J224" i="2"/>
  <c r="K224" i="2"/>
  <c r="I225" i="2"/>
  <c r="J225" i="2"/>
  <c r="K225" i="2"/>
  <c r="I226" i="2"/>
  <c r="J226" i="2"/>
  <c r="K226" i="2"/>
  <c r="I227" i="2"/>
  <c r="J227" i="2"/>
  <c r="K227" i="2"/>
  <c r="I228" i="2"/>
  <c r="J228" i="2"/>
  <c r="K228" i="2"/>
  <c r="I229" i="2"/>
  <c r="J229" i="2"/>
  <c r="K229" i="2"/>
  <c r="I230" i="2"/>
  <c r="J230" i="2"/>
  <c r="K230" i="2"/>
  <c r="I231" i="2"/>
  <c r="J231" i="2"/>
  <c r="K231" i="2"/>
  <c r="I232" i="2"/>
  <c r="J232" i="2"/>
  <c r="K232" i="2"/>
  <c r="I233" i="2"/>
  <c r="J233" i="2"/>
  <c r="K233" i="2"/>
  <c r="I234" i="2"/>
  <c r="J234" i="2"/>
  <c r="K234" i="2"/>
  <c r="I235" i="2"/>
  <c r="J235" i="2"/>
  <c r="K235" i="2"/>
  <c r="I236" i="2"/>
  <c r="J236" i="2"/>
  <c r="K236" i="2"/>
  <c r="I237" i="2"/>
  <c r="J237" i="2"/>
  <c r="K237" i="2"/>
  <c r="I238" i="2"/>
  <c r="J238" i="2"/>
  <c r="K238" i="2"/>
  <c r="I239" i="2"/>
  <c r="J239" i="2"/>
  <c r="K239" i="2"/>
  <c r="I240" i="2"/>
  <c r="J240" i="2"/>
  <c r="K240" i="2"/>
  <c r="I241" i="2"/>
  <c r="J241" i="2"/>
  <c r="K241" i="2"/>
  <c r="I242" i="2"/>
  <c r="J242" i="2"/>
  <c r="K242" i="2"/>
  <c r="I243" i="2"/>
  <c r="J243" i="2"/>
  <c r="K243" i="2"/>
  <c r="I244" i="2"/>
  <c r="J244" i="2"/>
  <c r="K244" i="2"/>
  <c r="I245" i="2"/>
  <c r="J245" i="2"/>
  <c r="K245" i="2"/>
  <c r="I246" i="2"/>
  <c r="J246" i="2"/>
  <c r="K246" i="2"/>
  <c r="I247" i="2"/>
  <c r="J247" i="2"/>
  <c r="K247" i="2"/>
  <c r="I248" i="2"/>
  <c r="J248" i="2"/>
  <c r="K248" i="2"/>
  <c r="I249" i="2"/>
  <c r="J249" i="2"/>
  <c r="K249" i="2"/>
  <c r="I250" i="2"/>
  <c r="J250" i="2"/>
  <c r="K250" i="2"/>
  <c r="I251" i="2"/>
  <c r="J251" i="2"/>
  <c r="K251" i="2"/>
  <c r="I252" i="2"/>
  <c r="J252" i="2"/>
  <c r="K252" i="2"/>
  <c r="I253" i="2"/>
  <c r="J253" i="2"/>
  <c r="K253" i="2"/>
  <c r="I254" i="2"/>
  <c r="J254" i="2"/>
  <c r="K254" i="2"/>
  <c r="I255" i="2"/>
  <c r="J255" i="2"/>
  <c r="K255" i="2"/>
  <c r="I256" i="2"/>
  <c r="J256" i="2"/>
  <c r="K256" i="2"/>
  <c r="I257" i="2"/>
  <c r="J257" i="2"/>
  <c r="K257" i="2"/>
  <c r="I258" i="2"/>
  <c r="J258" i="2"/>
  <c r="K258" i="2"/>
  <c r="I259" i="2"/>
  <c r="J259" i="2"/>
  <c r="K259" i="2"/>
  <c r="I260" i="2"/>
  <c r="J260" i="2"/>
  <c r="K260" i="2"/>
  <c r="I261" i="2"/>
  <c r="J261" i="2"/>
  <c r="K261" i="2"/>
  <c r="I262" i="2"/>
  <c r="J262" i="2"/>
  <c r="K262" i="2"/>
  <c r="I263" i="2"/>
  <c r="J263" i="2"/>
  <c r="K263" i="2"/>
  <c r="I264" i="2"/>
  <c r="J264" i="2"/>
  <c r="K264" i="2"/>
  <c r="I265" i="2"/>
  <c r="J265" i="2"/>
  <c r="K265" i="2"/>
  <c r="I266" i="2"/>
  <c r="J266" i="2"/>
  <c r="K266" i="2"/>
  <c r="I267" i="2"/>
  <c r="J267" i="2"/>
  <c r="K267" i="2"/>
  <c r="I268" i="2"/>
  <c r="J268" i="2"/>
  <c r="K268" i="2"/>
  <c r="I269" i="2"/>
  <c r="J269" i="2"/>
  <c r="K269" i="2"/>
  <c r="I270" i="2"/>
  <c r="J270" i="2"/>
  <c r="K270" i="2"/>
  <c r="I271" i="2"/>
  <c r="J271" i="2"/>
  <c r="K271" i="2"/>
  <c r="I272" i="2"/>
  <c r="J272" i="2"/>
  <c r="K272" i="2"/>
  <c r="I273" i="2"/>
  <c r="J273" i="2"/>
  <c r="K273" i="2"/>
  <c r="I274" i="2"/>
  <c r="J274" i="2"/>
  <c r="K274" i="2"/>
  <c r="I275" i="2"/>
  <c r="J275" i="2"/>
  <c r="K275" i="2"/>
  <c r="I276" i="2"/>
  <c r="J276" i="2"/>
  <c r="K276" i="2"/>
  <c r="I277" i="2"/>
  <c r="J277" i="2"/>
  <c r="K277" i="2"/>
  <c r="I278" i="2"/>
  <c r="J278" i="2"/>
  <c r="K278" i="2"/>
  <c r="I279" i="2"/>
  <c r="J279" i="2"/>
  <c r="K279" i="2"/>
  <c r="I280" i="2"/>
  <c r="J280" i="2"/>
  <c r="K280" i="2"/>
  <c r="I281" i="2"/>
  <c r="J281" i="2"/>
  <c r="K281" i="2"/>
  <c r="I282" i="2"/>
  <c r="J282" i="2"/>
  <c r="K282" i="2"/>
  <c r="I283" i="2"/>
  <c r="J283" i="2"/>
  <c r="K283" i="2"/>
  <c r="I284" i="2"/>
  <c r="J284" i="2"/>
  <c r="K284" i="2"/>
  <c r="I285" i="2"/>
  <c r="J285" i="2"/>
  <c r="K285" i="2"/>
  <c r="I286" i="2"/>
  <c r="J286" i="2"/>
  <c r="K286" i="2"/>
  <c r="I287" i="2"/>
  <c r="J287" i="2"/>
  <c r="K287" i="2"/>
  <c r="I288" i="2"/>
  <c r="J288" i="2"/>
  <c r="K288" i="2"/>
  <c r="I289" i="2"/>
  <c r="J289" i="2"/>
  <c r="K289" i="2"/>
  <c r="I290" i="2"/>
  <c r="J290" i="2"/>
  <c r="K290" i="2"/>
  <c r="I291" i="2"/>
  <c r="J291" i="2"/>
  <c r="K291" i="2"/>
  <c r="I292" i="2"/>
  <c r="J292" i="2"/>
  <c r="K292" i="2"/>
  <c r="I293" i="2"/>
  <c r="J293" i="2"/>
  <c r="K293" i="2"/>
  <c r="I294" i="2"/>
  <c r="J294" i="2"/>
  <c r="K294" i="2"/>
  <c r="I295" i="2"/>
  <c r="J295" i="2"/>
  <c r="K295" i="2"/>
  <c r="I296" i="2"/>
  <c r="J296" i="2"/>
  <c r="K296" i="2"/>
  <c r="I297" i="2"/>
  <c r="J297" i="2"/>
  <c r="K297" i="2"/>
  <c r="I298" i="2"/>
  <c r="J298" i="2"/>
  <c r="K298" i="2"/>
  <c r="I299" i="2"/>
  <c r="J299" i="2"/>
  <c r="K299" i="2"/>
  <c r="I300" i="2"/>
  <c r="J300" i="2"/>
  <c r="K300" i="2"/>
  <c r="I301" i="2"/>
  <c r="J301" i="2"/>
  <c r="K301" i="2"/>
  <c r="I302" i="2"/>
  <c r="J302" i="2"/>
  <c r="K302" i="2"/>
  <c r="I303" i="2"/>
  <c r="J303" i="2"/>
  <c r="K303" i="2"/>
  <c r="I304" i="2"/>
  <c r="J304" i="2"/>
  <c r="K304" i="2"/>
  <c r="I305" i="2"/>
  <c r="J305" i="2"/>
  <c r="K305" i="2"/>
  <c r="I306" i="2"/>
  <c r="J306" i="2"/>
  <c r="K306" i="2"/>
  <c r="I307" i="2"/>
  <c r="J307" i="2"/>
  <c r="K307" i="2"/>
  <c r="I308" i="2"/>
  <c r="J308" i="2"/>
  <c r="K308" i="2"/>
  <c r="I309" i="2"/>
  <c r="J309" i="2"/>
  <c r="K309" i="2"/>
  <c r="I310" i="2"/>
  <c r="J310" i="2"/>
  <c r="K310" i="2"/>
  <c r="I311" i="2"/>
  <c r="J311" i="2"/>
  <c r="K311" i="2"/>
  <c r="I312" i="2"/>
  <c r="J312" i="2"/>
  <c r="K312" i="2"/>
  <c r="I313" i="2"/>
  <c r="J313" i="2"/>
  <c r="K313" i="2"/>
  <c r="I314" i="2"/>
  <c r="J314" i="2"/>
  <c r="K314" i="2"/>
  <c r="I315" i="2"/>
  <c r="J315" i="2"/>
  <c r="K315" i="2"/>
  <c r="I316" i="2"/>
  <c r="J316" i="2"/>
  <c r="K316" i="2"/>
  <c r="I317" i="2"/>
  <c r="J317" i="2"/>
  <c r="K317" i="2"/>
  <c r="I318" i="2"/>
  <c r="J318" i="2"/>
  <c r="K318" i="2"/>
  <c r="I319" i="2"/>
  <c r="J319" i="2"/>
  <c r="K319" i="2"/>
  <c r="I320" i="2"/>
  <c r="J320" i="2"/>
  <c r="K320" i="2"/>
  <c r="I321" i="2"/>
  <c r="J321" i="2"/>
  <c r="K321" i="2"/>
  <c r="I322" i="2"/>
  <c r="J322" i="2"/>
  <c r="K322" i="2"/>
  <c r="I323" i="2"/>
  <c r="J323" i="2"/>
  <c r="K323" i="2"/>
  <c r="I324" i="2"/>
  <c r="J324" i="2"/>
  <c r="K324" i="2"/>
  <c r="I325" i="2"/>
  <c r="J325" i="2"/>
  <c r="K325" i="2"/>
  <c r="I326" i="2"/>
  <c r="J326" i="2"/>
  <c r="K326" i="2"/>
  <c r="I327" i="2"/>
  <c r="J327" i="2"/>
  <c r="K327" i="2"/>
  <c r="I328" i="2"/>
  <c r="J328" i="2"/>
  <c r="K328" i="2"/>
  <c r="I329" i="2"/>
  <c r="J329" i="2"/>
  <c r="K329" i="2"/>
  <c r="I330" i="2"/>
  <c r="J330" i="2"/>
  <c r="K330" i="2"/>
  <c r="I331" i="2"/>
  <c r="J331" i="2"/>
  <c r="K331" i="2"/>
  <c r="I332" i="2"/>
  <c r="J332" i="2"/>
  <c r="K332" i="2"/>
  <c r="I333" i="2"/>
  <c r="J333" i="2"/>
  <c r="K333" i="2"/>
  <c r="I334" i="2"/>
  <c r="J334" i="2"/>
  <c r="K334" i="2"/>
  <c r="I335" i="2"/>
  <c r="J335" i="2"/>
  <c r="K335" i="2"/>
  <c r="I336" i="2"/>
  <c r="J336" i="2"/>
  <c r="K336" i="2"/>
  <c r="I337" i="2"/>
  <c r="J337" i="2"/>
  <c r="K337" i="2"/>
  <c r="I338" i="2"/>
  <c r="J338" i="2"/>
  <c r="K338" i="2"/>
  <c r="I339" i="2"/>
  <c r="J339" i="2"/>
  <c r="K339" i="2"/>
  <c r="I340" i="2"/>
  <c r="J340" i="2"/>
  <c r="K340" i="2"/>
  <c r="I341" i="2"/>
  <c r="J341" i="2"/>
  <c r="K341" i="2"/>
  <c r="I342" i="2"/>
  <c r="J342" i="2"/>
  <c r="K342" i="2"/>
  <c r="I343" i="2"/>
  <c r="J343" i="2"/>
  <c r="K343" i="2"/>
  <c r="I344" i="2"/>
  <c r="J344" i="2"/>
  <c r="K344" i="2"/>
  <c r="I345" i="2"/>
  <c r="J345" i="2"/>
  <c r="K345" i="2"/>
  <c r="I346" i="2"/>
  <c r="J346" i="2"/>
  <c r="K346" i="2"/>
  <c r="I347" i="2"/>
  <c r="J347" i="2"/>
  <c r="K347" i="2"/>
  <c r="I348" i="2"/>
  <c r="J348" i="2"/>
  <c r="K348" i="2"/>
  <c r="I349" i="2"/>
  <c r="J349" i="2"/>
  <c r="K349" i="2"/>
  <c r="I350" i="2"/>
  <c r="J350" i="2"/>
  <c r="K350" i="2"/>
  <c r="I351" i="2"/>
  <c r="J351" i="2"/>
  <c r="K351" i="2"/>
  <c r="I352" i="2"/>
  <c r="J352" i="2"/>
  <c r="K352" i="2"/>
  <c r="I353" i="2"/>
  <c r="J353" i="2"/>
  <c r="K353" i="2"/>
  <c r="I354" i="2"/>
  <c r="J354" i="2"/>
  <c r="K354" i="2"/>
  <c r="I355" i="2"/>
  <c r="J355" i="2"/>
  <c r="K355" i="2"/>
  <c r="I356" i="2"/>
  <c r="J356" i="2"/>
  <c r="K356" i="2"/>
  <c r="I357" i="2"/>
  <c r="J357" i="2"/>
  <c r="K357" i="2"/>
  <c r="I358" i="2"/>
  <c r="J358" i="2"/>
  <c r="K358" i="2"/>
  <c r="I359" i="2"/>
  <c r="J359" i="2"/>
  <c r="K359" i="2"/>
  <c r="I360" i="2"/>
  <c r="J360" i="2"/>
  <c r="K360" i="2"/>
  <c r="I361" i="2"/>
  <c r="J361" i="2"/>
  <c r="K361" i="2"/>
  <c r="I362" i="2"/>
  <c r="J362" i="2"/>
  <c r="K362" i="2"/>
  <c r="I363" i="2"/>
  <c r="J363" i="2"/>
  <c r="K363" i="2"/>
  <c r="I365" i="2"/>
  <c r="J365" i="2"/>
  <c r="N10" i="2" s="1" a="1"/>
  <c r="N10" i="2" s="1"/>
  <c r="K365" i="2"/>
  <c r="I366" i="2"/>
  <c r="J366" i="2"/>
  <c r="K366" i="2"/>
  <c r="I367" i="2"/>
  <c r="J367" i="2"/>
  <c r="K367" i="2"/>
  <c r="I368" i="2"/>
  <c r="J368" i="2"/>
  <c r="K368" i="2"/>
  <c r="I369" i="2"/>
  <c r="J369" i="2"/>
  <c r="K369" i="2"/>
  <c r="I370" i="2"/>
  <c r="J370" i="2"/>
  <c r="K370" i="2"/>
  <c r="I371" i="2"/>
  <c r="J371" i="2"/>
  <c r="K371" i="2"/>
  <c r="I372" i="2"/>
  <c r="J372" i="2"/>
  <c r="K372" i="2"/>
  <c r="I373" i="2"/>
  <c r="J373" i="2"/>
  <c r="K373" i="2"/>
  <c r="I374" i="2"/>
  <c r="J374" i="2"/>
  <c r="K374" i="2"/>
  <c r="I375" i="2"/>
  <c r="J375" i="2"/>
  <c r="K375" i="2"/>
  <c r="I376" i="2"/>
  <c r="J376" i="2"/>
  <c r="K376" i="2"/>
  <c r="I377" i="2"/>
  <c r="J377" i="2"/>
  <c r="K377" i="2"/>
  <c r="I378" i="2"/>
  <c r="J378" i="2"/>
  <c r="K378" i="2"/>
  <c r="I379" i="2"/>
  <c r="J379" i="2"/>
  <c r="K379" i="2"/>
  <c r="I380" i="2"/>
  <c r="J380" i="2"/>
  <c r="K380" i="2"/>
  <c r="I381" i="2"/>
  <c r="J381" i="2"/>
  <c r="K381" i="2"/>
  <c r="I382" i="2"/>
  <c r="J382" i="2"/>
  <c r="K382" i="2"/>
  <c r="I383" i="2"/>
  <c r="J383" i="2"/>
  <c r="K383" i="2"/>
  <c r="I384" i="2"/>
  <c r="J384" i="2"/>
  <c r="K384" i="2"/>
  <c r="I385" i="2"/>
  <c r="J385" i="2"/>
  <c r="K385" i="2"/>
  <c r="I386" i="2"/>
  <c r="J386" i="2"/>
  <c r="K386" i="2"/>
  <c r="I387" i="2"/>
  <c r="J387" i="2"/>
  <c r="K387" i="2"/>
  <c r="I388" i="2"/>
  <c r="J388" i="2"/>
  <c r="K388" i="2"/>
  <c r="I389" i="2"/>
  <c r="J389" i="2"/>
  <c r="K389" i="2"/>
  <c r="I390" i="2"/>
  <c r="J390" i="2"/>
  <c r="K390" i="2"/>
  <c r="I391" i="2"/>
  <c r="J391" i="2"/>
  <c r="K391" i="2"/>
  <c r="I392" i="2"/>
  <c r="J392" i="2"/>
  <c r="K392" i="2"/>
  <c r="I393" i="2"/>
  <c r="J393" i="2"/>
  <c r="K393" i="2"/>
  <c r="I394" i="2"/>
  <c r="J394" i="2"/>
  <c r="K394" i="2"/>
  <c r="I395" i="2"/>
  <c r="J395" i="2"/>
  <c r="K395" i="2"/>
  <c r="I396" i="2"/>
  <c r="J396" i="2"/>
  <c r="K396" i="2"/>
  <c r="I397" i="2"/>
  <c r="J397" i="2"/>
  <c r="K397" i="2"/>
  <c r="I398" i="2"/>
  <c r="J398" i="2"/>
  <c r="K398" i="2"/>
  <c r="I399" i="2"/>
  <c r="J399" i="2"/>
  <c r="K399" i="2"/>
  <c r="I400" i="2"/>
  <c r="J400" i="2"/>
  <c r="K400" i="2"/>
  <c r="I401" i="2"/>
  <c r="J401" i="2"/>
  <c r="K401" i="2"/>
  <c r="I402" i="2"/>
  <c r="J402" i="2"/>
  <c r="K402" i="2"/>
  <c r="I403" i="2"/>
  <c r="J403" i="2"/>
  <c r="K403" i="2"/>
  <c r="I404" i="2"/>
  <c r="J404" i="2"/>
  <c r="K404" i="2"/>
  <c r="I405" i="2"/>
  <c r="J405" i="2"/>
  <c r="K405" i="2"/>
  <c r="I406" i="2"/>
  <c r="J406" i="2"/>
  <c r="K406" i="2"/>
  <c r="I407" i="2"/>
  <c r="J407" i="2"/>
  <c r="K407" i="2"/>
  <c r="I408" i="2"/>
  <c r="J408" i="2"/>
  <c r="K408" i="2"/>
  <c r="I409" i="2"/>
  <c r="J409" i="2"/>
  <c r="K409" i="2"/>
  <c r="I410" i="2"/>
  <c r="J410" i="2"/>
  <c r="K410" i="2"/>
  <c r="I411" i="2"/>
  <c r="J411" i="2"/>
  <c r="K411" i="2"/>
  <c r="I412" i="2"/>
  <c r="J412" i="2"/>
  <c r="K412" i="2"/>
  <c r="I413" i="2"/>
  <c r="J413" i="2"/>
  <c r="K413" i="2"/>
  <c r="I414" i="2"/>
  <c r="J414" i="2"/>
  <c r="K414" i="2"/>
  <c r="I415" i="2"/>
  <c r="J415" i="2"/>
  <c r="K415" i="2"/>
  <c r="I416" i="2"/>
  <c r="J416" i="2"/>
  <c r="K416" i="2"/>
  <c r="I417" i="2"/>
  <c r="J417" i="2"/>
  <c r="K417" i="2"/>
  <c r="I418" i="2"/>
  <c r="J418" i="2"/>
  <c r="K418" i="2"/>
  <c r="I419" i="2"/>
  <c r="J419" i="2"/>
  <c r="K419" i="2"/>
  <c r="I420" i="2"/>
  <c r="J420" i="2"/>
  <c r="K420" i="2"/>
  <c r="I421" i="2"/>
  <c r="J421" i="2"/>
  <c r="K421" i="2"/>
  <c r="I422" i="2"/>
  <c r="J422" i="2"/>
  <c r="K422" i="2"/>
  <c r="I423" i="2"/>
  <c r="J423" i="2"/>
  <c r="K423" i="2"/>
  <c r="I424" i="2"/>
  <c r="J424" i="2"/>
  <c r="K424" i="2"/>
  <c r="I425" i="2"/>
  <c r="J425" i="2"/>
  <c r="K425" i="2"/>
  <c r="I426" i="2"/>
  <c r="J426" i="2"/>
  <c r="K426" i="2"/>
  <c r="I427" i="2"/>
  <c r="J427" i="2"/>
  <c r="K427" i="2"/>
  <c r="I428" i="2"/>
  <c r="J428" i="2"/>
  <c r="K428" i="2"/>
  <c r="I429" i="2"/>
  <c r="J429" i="2"/>
  <c r="K429" i="2"/>
  <c r="I430" i="2"/>
  <c r="J430" i="2"/>
  <c r="K430" i="2"/>
  <c r="I431" i="2"/>
  <c r="J431" i="2"/>
  <c r="K431" i="2"/>
  <c r="I432" i="2"/>
  <c r="J432" i="2"/>
  <c r="K432" i="2"/>
  <c r="I433" i="2"/>
  <c r="J433" i="2"/>
  <c r="K433" i="2"/>
  <c r="I434" i="2"/>
  <c r="J434" i="2"/>
  <c r="K434" i="2"/>
  <c r="I435" i="2"/>
  <c r="J435" i="2"/>
  <c r="K435" i="2"/>
  <c r="I436" i="2"/>
  <c r="J436" i="2"/>
  <c r="K436" i="2"/>
  <c r="I437" i="2"/>
  <c r="J437" i="2"/>
  <c r="K437" i="2"/>
  <c r="I438" i="2"/>
  <c r="J438" i="2"/>
  <c r="K438" i="2"/>
  <c r="I439" i="2"/>
  <c r="J439" i="2"/>
  <c r="K439" i="2"/>
  <c r="I440" i="2"/>
  <c r="J440" i="2"/>
  <c r="K440" i="2"/>
  <c r="I441" i="2"/>
  <c r="J441" i="2"/>
  <c r="K441" i="2"/>
  <c r="I442" i="2"/>
  <c r="J442" i="2"/>
  <c r="K442" i="2"/>
  <c r="I443" i="2"/>
  <c r="J443" i="2"/>
  <c r="K443" i="2"/>
  <c r="I444" i="2"/>
  <c r="J444" i="2"/>
  <c r="K444" i="2"/>
  <c r="I445" i="2"/>
  <c r="J445" i="2"/>
  <c r="K445" i="2"/>
  <c r="I446" i="2"/>
  <c r="J446" i="2"/>
  <c r="K446" i="2"/>
  <c r="I447" i="2"/>
  <c r="J447" i="2"/>
  <c r="K447" i="2"/>
  <c r="I448" i="2"/>
  <c r="J448" i="2"/>
  <c r="K448" i="2"/>
  <c r="I449" i="2"/>
  <c r="J449" i="2"/>
  <c r="K449" i="2"/>
  <c r="I450" i="2"/>
  <c r="J450" i="2"/>
  <c r="K450" i="2"/>
  <c r="I451" i="2"/>
  <c r="J451" i="2"/>
  <c r="K451" i="2"/>
  <c r="I452" i="2"/>
  <c r="J452" i="2"/>
  <c r="K452" i="2"/>
  <c r="I453" i="2"/>
  <c r="J453" i="2"/>
  <c r="K453" i="2"/>
  <c r="I454" i="2"/>
  <c r="J454" i="2"/>
  <c r="K454" i="2"/>
  <c r="I455" i="2"/>
  <c r="J455" i="2"/>
  <c r="K455" i="2"/>
  <c r="I456" i="2"/>
  <c r="J456" i="2"/>
  <c r="K456" i="2"/>
  <c r="I457" i="2"/>
  <c r="J457" i="2"/>
  <c r="K457" i="2"/>
  <c r="I458" i="2"/>
  <c r="J458" i="2"/>
  <c r="K458" i="2"/>
  <c r="I459" i="2"/>
  <c r="J459" i="2"/>
  <c r="K459" i="2"/>
  <c r="I460" i="2"/>
  <c r="J460" i="2"/>
  <c r="K460" i="2"/>
  <c r="I461" i="2"/>
  <c r="J461" i="2"/>
  <c r="K461" i="2"/>
  <c r="I462" i="2"/>
  <c r="J462" i="2"/>
  <c r="K462" i="2"/>
  <c r="I463" i="2"/>
  <c r="J463" i="2"/>
  <c r="K463" i="2"/>
  <c r="I464" i="2"/>
  <c r="J464" i="2"/>
  <c r="K464" i="2"/>
  <c r="I465" i="2"/>
  <c r="J465" i="2"/>
  <c r="K465" i="2"/>
  <c r="I466" i="2"/>
  <c r="J466" i="2"/>
  <c r="K466" i="2"/>
  <c r="I467" i="2"/>
  <c r="J467" i="2"/>
  <c r="K467" i="2"/>
  <c r="I468" i="2"/>
  <c r="J468" i="2"/>
  <c r="K468" i="2"/>
  <c r="I469" i="2"/>
  <c r="J469" i="2"/>
  <c r="K469" i="2"/>
  <c r="I470" i="2"/>
  <c r="J470" i="2"/>
  <c r="K470" i="2"/>
  <c r="I471" i="2"/>
  <c r="J471" i="2"/>
  <c r="K471" i="2"/>
  <c r="I472" i="2"/>
  <c r="J472" i="2"/>
  <c r="K472" i="2"/>
  <c r="I473" i="2"/>
  <c r="J473" i="2"/>
  <c r="K473" i="2"/>
  <c r="I474" i="2"/>
  <c r="J474" i="2"/>
  <c r="K474" i="2"/>
  <c r="I475" i="2"/>
  <c r="J475" i="2"/>
  <c r="K475" i="2"/>
  <c r="I476" i="2"/>
  <c r="J476" i="2"/>
  <c r="K476" i="2"/>
  <c r="I477" i="2"/>
  <c r="J477" i="2"/>
  <c r="K477" i="2"/>
  <c r="I478" i="2"/>
  <c r="J478" i="2"/>
  <c r="K478" i="2"/>
  <c r="I479" i="2"/>
  <c r="J479" i="2"/>
  <c r="K479" i="2"/>
  <c r="I480" i="2"/>
  <c r="J480" i="2"/>
  <c r="K480" i="2"/>
  <c r="I481" i="2"/>
  <c r="J481" i="2"/>
  <c r="K481" i="2"/>
  <c r="I482" i="2"/>
  <c r="J482" i="2"/>
  <c r="K482" i="2"/>
  <c r="I483" i="2"/>
  <c r="J483" i="2"/>
  <c r="K483" i="2"/>
  <c r="I484" i="2"/>
  <c r="J484" i="2"/>
  <c r="K484" i="2"/>
  <c r="I485" i="2"/>
  <c r="J485" i="2"/>
  <c r="K485" i="2"/>
  <c r="I486" i="2"/>
  <c r="J486" i="2"/>
  <c r="K486" i="2"/>
  <c r="I487" i="2"/>
  <c r="J487" i="2"/>
  <c r="K487" i="2"/>
  <c r="I488" i="2"/>
  <c r="J488" i="2"/>
  <c r="K488" i="2"/>
  <c r="I489" i="2"/>
  <c r="J489" i="2"/>
  <c r="K489" i="2"/>
  <c r="I490" i="2"/>
  <c r="J490" i="2"/>
  <c r="K490" i="2"/>
  <c r="I491" i="2"/>
  <c r="J491" i="2"/>
  <c r="K491" i="2"/>
  <c r="I492" i="2"/>
  <c r="J492" i="2"/>
  <c r="K492" i="2"/>
  <c r="I493" i="2"/>
  <c r="J493" i="2"/>
  <c r="K493" i="2"/>
  <c r="I494" i="2"/>
  <c r="J494" i="2"/>
  <c r="K494" i="2"/>
  <c r="I495" i="2"/>
  <c r="J495" i="2"/>
  <c r="K495" i="2"/>
  <c r="I496" i="2"/>
  <c r="J496" i="2"/>
  <c r="K496" i="2"/>
  <c r="I497" i="2"/>
  <c r="J497" i="2"/>
  <c r="K497" i="2"/>
  <c r="I498" i="2"/>
  <c r="J498" i="2"/>
  <c r="K498" i="2"/>
  <c r="I499" i="2"/>
  <c r="J499" i="2"/>
  <c r="K499" i="2"/>
  <c r="I500" i="2"/>
  <c r="J500" i="2"/>
  <c r="K500" i="2"/>
  <c r="I501" i="2"/>
  <c r="J501" i="2"/>
  <c r="K501" i="2"/>
  <c r="I502" i="2"/>
  <c r="J502" i="2"/>
  <c r="K502" i="2"/>
  <c r="I503" i="2"/>
  <c r="J503" i="2"/>
  <c r="K503" i="2"/>
  <c r="I504" i="2"/>
  <c r="J504" i="2"/>
  <c r="K504" i="2"/>
  <c r="I505" i="2"/>
  <c r="J505" i="2"/>
  <c r="K505" i="2"/>
  <c r="I506" i="2"/>
  <c r="J506" i="2"/>
  <c r="K506" i="2"/>
  <c r="I507" i="2"/>
  <c r="J507" i="2"/>
  <c r="K507" i="2"/>
  <c r="I508" i="2"/>
  <c r="J508" i="2"/>
  <c r="K508" i="2"/>
  <c r="I509" i="2"/>
  <c r="J509" i="2"/>
  <c r="K509" i="2"/>
  <c r="I510" i="2"/>
  <c r="J510" i="2"/>
  <c r="K510" i="2"/>
  <c r="I511" i="2"/>
  <c r="J511" i="2"/>
  <c r="K511" i="2"/>
  <c r="I512" i="2"/>
  <c r="J512" i="2"/>
  <c r="K512" i="2"/>
  <c r="I513" i="2"/>
  <c r="J513" i="2"/>
  <c r="K513" i="2"/>
  <c r="I514" i="2"/>
  <c r="J514" i="2"/>
  <c r="K514" i="2"/>
  <c r="I515" i="2"/>
  <c r="J515" i="2"/>
  <c r="K515" i="2"/>
  <c r="I516" i="2"/>
  <c r="J516" i="2"/>
  <c r="K516" i="2"/>
  <c r="I517" i="2"/>
  <c r="J517" i="2"/>
  <c r="K517" i="2"/>
  <c r="I518" i="2"/>
  <c r="J518" i="2"/>
  <c r="K518" i="2"/>
  <c r="I519" i="2"/>
  <c r="J519" i="2"/>
  <c r="K519" i="2"/>
  <c r="I520" i="2"/>
  <c r="J520" i="2"/>
  <c r="K520" i="2"/>
  <c r="I521" i="2"/>
  <c r="J521" i="2"/>
  <c r="K521" i="2"/>
  <c r="I522" i="2"/>
  <c r="J522" i="2"/>
  <c r="K522" i="2"/>
  <c r="I523" i="2"/>
  <c r="J523" i="2"/>
  <c r="K523" i="2"/>
  <c r="I524" i="2"/>
  <c r="J524" i="2"/>
  <c r="K524" i="2"/>
  <c r="I525" i="2"/>
  <c r="J525" i="2"/>
  <c r="K525" i="2"/>
  <c r="I526" i="2"/>
  <c r="J526" i="2"/>
  <c r="K526" i="2"/>
  <c r="I527" i="2"/>
  <c r="J527" i="2"/>
  <c r="K527" i="2"/>
  <c r="I528" i="2"/>
  <c r="J528" i="2"/>
  <c r="K528" i="2"/>
  <c r="I529" i="2"/>
  <c r="J529" i="2"/>
  <c r="K529" i="2"/>
  <c r="I530" i="2"/>
  <c r="J530" i="2"/>
  <c r="K530" i="2"/>
  <c r="I531" i="2"/>
  <c r="J531" i="2"/>
  <c r="K531" i="2"/>
  <c r="I532" i="2"/>
  <c r="J532" i="2"/>
  <c r="K532" i="2"/>
  <c r="I533" i="2"/>
  <c r="J533" i="2"/>
  <c r="K533" i="2"/>
  <c r="I534" i="2"/>
  <c r="J534" i="2"/>
  <c r="K534" i="2"/>
  <c r="I535" i="2"/>
  <c r="J535" i="2"/>
  <c r="K535" i="2"/>
  <c r="I536" i="2"/>
  <c r="J536" i="2"/>
  <c r="K536" i="2"/>
  <c r="I537" i="2"/>
  <c r="J537" i="2"/>
  <c r="K537" i="2"/>
  <c r="I538" i="2"/>
  <c r="J538" i="2"/>
  <c r="K538" i="2"/>
  <c r="I539" i="2"/>
  <c r="J539" i="2"/>
  <c r="K539" i="2"/>
  <c r="I540" i="2"/>
  <c r="J540" i="2"/>
  <c r="K540" i="2"/>
  <c r="I541" i="2"/>
  <c r="J541" i="2"/>
  <c r="K541" i="2"/>
  <c r="I542" i="2"/>
  <c r="J542" i="2"/>
  <c r="K542" i="2"/>
  <c r="I543" i="2"/>
  <c r="J543" i="2"/>
  <c r="K543" i="2"/>
  <c r="I544" i="2"/>
  <c r="J544" i="2"/>
  <c r="K544" i="2"/>
  <c r="I546" i="2"/>
  <c r="J546" i="2"/>
  <c r="N11" i="2" s="1" a="1"/>
  <c r="N11" i="2" s="1"/>
  <c r="K546" i="2"/>
  <c r="I547" i="2"/>
  <c r="J547" i="2"/>
  <c r="K547" i="2"/>
  <c r="I548" i="2"/>
  <c r="J548" i="2"/>
  <c r="K548" i="2"/>
  <c r="I549" i="2"/>
  <c r="J549" i="2"/>
  <c r="K549" i="2"/>
  <c r="I550" i="2"/>
  <c r="J550" i="2"/>
  <c r="K550" i="2"/>
  <c r="I551" i="2"/>
  <c r="J551" i="2"/>
  <c r="K551" i="2"/>
  <c r="I552" i="2"/>
  <c r="J552" i="2"/>
  <c r="K552" i="2"/>
  <c r="I553" i="2"/>
  <c r="J553" i="2"/>
  <c r="K553" i="2"/>
  <c r="I554" i="2"/>
  <c r="J554" i="2"/>
  <c r="K554" i="2"/>
  <c r="I555" i="2"/>
  <c r="J555" i="2"/>
  <c r="K555" i="2"/>
  <c r="I556" i="2"/>
  <c r="J556" i="2"/>
  <c r="K556" i="2"/>
  <c r="I557" i="2"/>
  <c r="J557" i="2"/>
  <c r="K557" i="2"/>
  <c r="I558" i="2"/>
  <c r="J558" i="2"/>
  <c r="K558" i="2"/>
  <c r="I559" i="2"/>
  <c r="J559" i="2"/>
  <c r="K559" i="2"/>
  <c r="I560" i="2"/>
  <c r="J560" i="2"/>
  <c r="K560" i="2"/>
  <c r="I561" i="2"/>
  <c r="J561" i="2"/>
  <c r="K561" i="2"/>
  <c r="I562" i="2"/>
  <c r="J562" i="2"/>
  <c r="K562" i="2"/>
  <c r="I563" i="2"/>
  <c r="J563" i="2"/>
  <c r="K563" i="2"/>
  <c r="I564" i="2"/>
  <c r="J564" i="2"/>
  <c r="K564" i="2"/>
  <c r="I565" i="2"/>
  <c r="J565" i="2"/>
  <c r="K565" i="2"/>
  <c r="I566" i="2"/>
  <c r="J566" i="2"/>
  <c r="K566" i="2"/>
  <c r="I567" i="2"/>
  <c r="J567" i="2"/>
  <c r="K567" i="2"/>
  <c r="I568" i="2"/>
  <c r="J568" i="2"/>
  <c r="K568" i="2"/>
  <c r="I569" i="2"/>
  <c r="J569" i="2"/>
  <c r="K569" i="2"/>
  <c r="I570" i="2"/>
  <c r="J570" i="2"/>
  <c r="K570" i="2"/>
  <c r="I571" i="2"/>
  <c r="J571" i="2"/>
  <c r="K571" i="2"/>
  <c r="I572" i="2"/>
  <c r="J572" i="2"/>
  <c r="K572" i="2"/>
  <c r="I573" i="2"/>
  <c r="J573" i="2"/>
  <c r="K573" i="2"/>
  <c r="I574" i="2"/>
  <c r="J574" i="2"/>
  <c r="K574" i="2"/>
  <c r="I575" i="2"/>
  <c r="J575" i="2"/>
  <c r="K575" i="2"/>
  <c r="I576" i="2"/>
  <c r="J576" i="2"/>
  <c r="K576" i="2"/>
  <c r="I577" i="2"/>
  <c r="J577" i="2"/>
  <c r="K577" i="2"/>
  <c r="I578" i="2"/>
  <c r="J578" i="2"/>
  <c r="K578" i="2"/>
  <c r="I579" i="2"/>
  <c r="J579" i="2"/>
  <c r="K579" i="2"/>
  <c r="I580" i="2"/>
  <c r="J580" i="2"/>
  <c r="K580" i="2"/>
  <c r="I581" i="2"/>
  <c r="J581" i="2"/>
  <c r="K581" i="2"/>
  <c r="I582" i="2"/>
  <c r="J582" i="2"/>
  <c r="K582" i="2"/>
  <c r="I583" i="2"/>
  <c r="J583" i="2"/>
  <c r="K583" i="2"/>
  <c r="I584" i="2"/>
  <c r="J584" i="2"/>
  <c r="K584" i="2"/>
  <c r="I585" i="2"/>
  <c r="J585" i="2"/>
  <c r="K585" i="2"/>
  <c r="I586" i="2"/>
  <c r="J586" i="2"/>
  <c r="K586" i="2"/>
  <c r="I587" i="2"/>
  <c r="J587" i="2"/>
  <c r="K587" i="2"/>
  <c r="I588" i="2"/>
  <c r="J588" i="2"/>
  <c r="K588" i="2"/>
  <c r="I589" i="2"/>
  <c r="J589" i="2"/>
  <c r="K589" i="2"/>
  <c r="I590" i="2"/>
  <c r="J590" i="2"/>
  <c r="K590" i="2"/>
  <c r="I591" i="2"/>
  <c r="J591" i="2"/>
  <c r="K591" i="2"/>
  <c r="I592" i="2"/>
  <c r="J592" i="2"/>
  <c r="K592" i="2"/>
  <c r="I593" i="2"/>
  <c r="J593" i="2"/>
  <c r="K593" i="2"/>
  <c r="I594" i="2"/>
  <c r="J594" i="2"/>
  <c r="K594" i="2"/>
  <c r="I595" i="2"/>
  <c r="J595" i="2"/>
  <c r="K595" i="2"/>
  <c r="I596" i="2"/>
  <c r="J596" i="2"/>
  <c r="K596" i="2"/>
  <c r="I597" i="2"/>
  <c r="J597" i="2"/>
  <c r="K597" i="2"/>
  <c r="I598" i="2"/>
  <c r="J598" i="2"/>
  <c r="K598" i="2"/>
  <c r="I599" i="2"/>
  <c r="J599" i="2"/>
  <c r="K599" i="2"/>
  <c r="I600" i="2"/>
  <c r="J600" i="2"/>
  <c r="K600" i="2"/>
  <c r="I601" i="2"/>
  <c r="J601" i="2"/>
  <c r="K601" i="2"/>
  <c r="I602" i="2"/>
  <c r="J602" i="2"/>
  <c r="K602" i="2"/>
  <c r="I603" i="2"/>
  <c r="J603" i="2"/>
  <c r="K603" i="2"/>
  <c r="I604" i="2"/>
  <c r="J604" i="2"/>
  <c r="K604" i="2"/>
  <c r="I605" i="2"/>
  <c r="J605" i="2"/>
  <c r="K605" i="2"/>
  <c r="I606" i="2"/>
  <c r="J606" i="2"/>
  <c r="K606" i="2"/>
  <c r="I607" i="2"/>
  <c r="J607" i="2"/>
  <c r="K607" i="2"/>
  <c r="I608" i="2"/>
  <c r="J608" i="2"/>
  <c r="K608" i="2"/>
  <c r="I609" i="2"/>
  <c r="J609" i="2"/>
  <c r="K609" i="2"/>
  <c r="I610" i="2"/>
  <c r="J610" i="2"/>
  <c r="K610" i="2"/>
  <c r="I611" i="2"/>
  <c r="J611" i="2"/>
  <c r="K611" i="2"/>
  <c r="I612" i="2"/>
  <c r="J612" i="2"/>
  <c r="K612" i="2"/>
  <c r="I613" i="2"/>
  <c r="J613" i="2"/>
  <c r="K613" i="2"/>
  <c r="I614" i="2"/>
  <c r="J614" i="2"/>
  <c r="K614" i="2"/>
  <c r="I615" i="2"/>
  <c r="J615" i="2"/>
  <c r="K615" i="2"/>
  <c r="I616" i="2"/>
  <c r="J616" i="2"/>
  <c r="K616" i="2"/>
  <c r="I617" i="2"/>
  <c r="J617" i="2"/>
  <c r="K617" i="2"/>
  <c r="I618" i="2"/>
  <c r="J618" i="2"/>
  <c r="K618" i="2"/>
  <c r="I619" i="2"/>
  <c r="J619" i="2"/>
  <c r="K619" i="2"/>
  <c r="I620" i="2"/>
  <c r="J620" i="2"/>
  <c r="K620" i="2"/>
  <c r="I621" i="2"/>
  <c r="J621" i="2"/>
  <c r="K621" i="2"/>
  <c r="I622" i="2"/>
  <c r="J622" i="2"/>
  <c r="K622" i="2"/>
  <c r="I623" i="2"/>
  <c r="J623" i="2"/>
  <c r="K623" i="2"/>
  <c r="I624" i="2"/>
  <c r="J624" i="2"/>
  <c r="K624" i="2"/>
  <c r="I625" i="2"/>
  <c r="J625" i="2"/>
  <c r="K625" i="2"/>
  <c r="I626" i="2"/>
  <c r="J626" i="2"/>
  <c r="K626" i="2"/>
  <c r="I627" i="2"/>
  <c r="J627" i="2"/>
  <c r="K627" i="2"/>
  <c r="I628" i="2"/>
  <c r="J628" i="2"/>
  <c r="K628" i="2"/>
  <c r="I629" i="2"/>
  <c r="J629" i="2"/>
  <c r="K629" i="2"/>
  <c r="I630" i="2"/>
  <c r="J630" i="2"/>
  <c r="K630" i="2"/>
  <c r="I631" i="2"/>
  <c r="J631" i="2"/>
  <c r="K631" i="2"/>
  <c r="I632" i="2"/>
  <c r="J632" i="2"/>
  <c r="K632" i="2"/>
  <c r="I633" i="2"/>
  <c r="J633" i="2"/>
  <c r="K633" i="2"/>
  <c r="I634" i="2"/>
  <c r="J634" i="2"/>
  <c r="K634" i="2"/>
  <c r="I635" i="2"/>
  <c r="J635" i="2"/>
  <c r="K635" i="2"/>
  <c r="I636" i="2"/>
  <c r="J636" i="2"/>
  <c r="K636" i="2"/>
  <c r="I637" i="2"/>
  <c r="J637" i="2"/>
  <c r="K637" i="2"/>
  <c r="I638" i="2"/>
  <c r="J638" i="2"/>
  <c r="K638" i="2"/>
  <c r="I639" i="2"/>
  <c r="J639" i="2"/>
  <c r="K639" i="2"/>
  <c r="I640" i="2"/>
  <c r="J640" i="2"/>
  <c r="K640" i="2"/>
  <c r="I641" i="2"/>
  <c r="J641" i="2"/>
  <c r="K641" i="2"/>
  <c r="I642" i="2"/>
  <c r="J642" i="2"/>
  <c r="K642" i="2"/>
  <c r="I643" i="2"/>
  <c r="J643" i="2"/>
  <c r="K643" i="2"/>
  <c r="I644" i="2"/>
  <c r="J644" i="2"/>
  <c r="K644" i="2"/>
  <c r="I645" i="2"/>
  <c r="J645" i="2"/>
  <c r="K645" i="2"/>
  <c r="I646" i="2"/>
  <c r="J646" i="2"/>
  <c r="K646" i="2"/>
  <c r="I647" i="2"/>
  <c r="J647" i="2"/>
  <c r="K647" i="2"/>
  <c r="I648" i="2"/>
  <c r="J648" i="2"/>
  <c r="K648" i="2"/>
  <c r="I649" i="2"/>
  <c r="J649" i="2"/>
  <c r="K649" i="2"/>
  <c r="I650" i="2"/>
  <c r="J650" i="2"/>
  <c r="K650" i="2"/>
  <c r="I651" i="2"/>
  <c r="J651" i="2"/>
  <c r="K651" i="2"/>
  <c r="I652" i="2"/>
  <c r="J652" i="2"/>
  <c r="K652" i="2"/>
  <c r="I653" i="2"/>
  <c r="J653" i="2"/>
  <c r="K653" i="2"/>
  <c r="I654" i="2"/>
  <c r="J654" i="2"/>
  <c r="K654" i="2"/>
  <c r="I655" i="2"/>
  <c r="J655" i="2"/>
  <c r="K655" i="2"/>
  <c r="I656" i="2"/>
  <c r="J656" i="2"/>
  <c r="K656" i="2"/>
  <c r="I657" i="2"/>
  <c r="J657" i="2"/>
  <c r="K657" i="2"/>
  <c r="I658" i="2"/>
  <c r="J658" i="2"/>
  <c r="K658" i="2"/>
  <c r="I659" i="2"/>
  <c r="J659" i="2"/>
  <c r="K659" i="2"/>
  <c r="I660" i="2"/>
  <c r="J660" i="2"/>
  <c r="K660" i="2"/>
  <c r="I661" i="2"/>
  <c r="J661" i="2"/>
  <c r="K661" i="2"/>
  <c r="I662" i="2"/>
  <c r="J662" i="2"/>
  <c r="K662" i="2"/>
  <c r="I663" i="2"/>
  <c r="J663" i="2"/>
  <c r="K663" i="2"/>
  <c r="I664" i="2"/>
  <c r="J664" i="2"/>
  <c r="K664" i="2"/>
  <c r="I665" i="2"/>
  <c r="J665" i="2"/>
  <c r="K665" i="2"/>
  <c r="I666" i="2"/>
  <c r="J666" i="2"/>
  <c r="K666" i="2"/>
  <c r="I667" i="2"/>
  <c r="J667" i="2"/>
  <c r="K667" i="2"/>
  <c r="I668" i="2"/>
  <c r="J668" i="2"/>
  <c r="K668" i="2"/>
  <c r="I669" i="2"/>
  <c r="J669" i="2"/>
  <c r="K669" i="2"/>
  <c r="I670" i="2"/>
  <c r="J670" i="2"/>
  <c r="K670" i="2"/>
  <c r="I671" i="2"/>
  <c r="J671" i="2"/>
  <c r="K671" i="2"/>
  <c r="I672" i="2"/>
  <c r="J672" i="2"/>
  <c r="K672" i="2"/>
  <c r="I673" i="2"/>
  <c r="J673" i="2"/>
  <c r="K673" i="2"/>
  <c r="I674" i="2"/>
  <c r="J674" i="2"/>
  <c r="K674" i="2"/>
  <c r="I675" i="2"/>
  <c r="J675" i="2"/>
  <c r="K675" i="2"/>
  <c r="I676" i="2"/>
  <c r="J676" i="2"/>
  <c r="K676" i="2"/>
  <c r="I677" i="2"/>
  <c r="J677" i="2"/>
  <c r="K677" i="2"/>
  <c r="I678" i="2"/>
  <c r="J678" i="2"/>
  <c r="K678" i="2"/>
  <c r="I679" i="2"/>
  <c r="J679" i="2"/>
  <c r="K679" i="2"/>
  <c r="I680" i="2"/>
  <c r="J680" i="2"/>
  <c r="K680" i="2"/>
  <c r="I681" i="2"/>
  <c r="J681" i="2"/>
  <c r="K681" i="2"/>
  <c r="I682" i="2"/>
  <c r="J682" i="2"/>
  <c r="K682" i="2"/>
  <c r="I683" i="2"/>
  <c r="J683" i="2"/>
  <c r="K683" i="2"/>
  <c r="I684" i="2"/>
  <c r="J684" i="2"/>
  <c r="K684" i="2"/>
  <c r="I685" i="2"/>
  <c r="J685" i="2"/>
  <c r="K685" i="2"/>
  <c r="I686" i="2"/>
  <c r="J686" i="2"/>
  <c r="K686" i="2"/>
  <c r="I687" i="2"/>
  <c r="J687" i="2"/>
  <c r="K687" i="2"/>
  <c r="I688" i="2"/>
  <c r="J688" i="2"/>
  <c r="K688" i="2"/>
  <c r="I689" i="2"/>
  <c r="J689" i="2"/>
  <c r="K689" i="2"/>
  <c r="I690" i="2"/>
  <c r="J690" i="2"/>
  <c r="K690" i="2"/>
  <c r="I691" i="2"/>
  <c r="J691" i="2"/>
  <c r="K691" i="2"/>
  <c r="I692" i="2"/>
  <c r="J692" i="2"/>
  <c r="K692" i="2"/>
  <c r="I693" i="2"/>
  <c r="J693" i="2"/>
  <c r="K693" i="2"/>
  <c r="I694" i="2"/>
  <c r="J694" i="2"/>
  <c r="K694" i="2"/>
  <c r="I695" i="2"/>
  <c r="J695" i="2"/>
  <c r="K695" i="2"/>
  <c r="I696" i="2"/>
  <c r="J696" i="2"/>
  <c r="K696" i="2"/>
  <c r="I697" i="2"/>
  <c r="J697" i="2"/>
  <c r="K697" i="2"/>
  <c r="I698" i="2"/>
  <c r="J698" i="2"/>
  <c r="K698" i="2"/>
  <c r="I699" i="2"/>
  <c r="J699" i="2"/>
  <c r="K699" i="2"/>
  <c r="I700" i="2"/>
  <c r="J700" i="2"/>
  <c r="K700" i="2"/>
  <c r="I701" i="2"/>
  <c r="J701" i="2"/>
  <c r="K701" i="2"/>
  <c r="I702" i="2"/>
  <c r="J702" i="2"/>
  <c r="K702" i="2"/>
  <c r="I703" i="2"/>
  <c r="J703" i="2"/>
  <c r="K703" i="2"/>
  <c r="I704" i="2"/>
  <c r="J704" i="2"/>
  <c r="K704" i="2"/>
  <c r="I705" i="2"/>
  <c r="J705" i="2"/>
  <c r="K705" i="2"/>
  <c r="I706" i="2"/>
  <c r="J706" i="2"/>
  <c r="K706" i="2"/>
  <c r="I707" i="2"/>
  <c r="J707" i="2"/>
  <c r="K707" i="2"/>
  <c r="I708" i="2"/>
  <c r="J708" i="2"/>
  <c r="K708" i="2"/>
  <c r="I709" i="2"/>
  <c r="J709" i="2"/>
  <c r="K709" i="2"/>
  <c r="I710" i="2"/>
  <c r="J710" i="2"/>
  <c r="K710" i="2"/>
  <c r="I711" i="2"/>
  <c r="J711" i="2"/>
  <c r="K711" i="2"/>
  <c r="I712" i="2"/>
  <c r="J712" i="2"/>
  <c r="K712" i="2"/>
  <c r="I713" i="2"/>
  <c r="J713" i="2"/>
  <c r="K713" i="2"/>
  <c r="I714" i="2"/>
  <c r="J714" i="2"/>
  <c r="K714" i="2"/>
  <c r="I715" i="2"/>
  <c r="J715" i="2"/>
  <c r="K715" i="2"/>
  <c r="I716" i="2"/>
  <c r="J716" i="2"/>
  <c r="K716" i="2"/>
  <c r="I717" i="2"/>
  <c r="J717" i="2"/>
  <c r="K717" i="2"/>
  <c r="I718" i="2"/>
  <c r="J718" i="2"/>
  <c r="K718" i="2"/>
  <c r="I719" i="2"/>
  <c r="J719" i="2"/>
  <c r="K719" i="2"/>
  <c r="I720" i="2"/>
  <c r="J720" i="2"/>
  <c r="K720" i="2"/>
  <c r="I721" i="2"/>
  <c r="J721" i="2"/>
  <c r="K721" i="2"/>
  <c r="I722" i="2"/>
  <c r="J722" i="2"/>
  <c r="K722" i="2"/>
  <c r="I723" i="2"/>
  <c r="J723" i="2"/>
  <c r="K723" i="2"/>
  <c r="I724" i="2"/>
  <c r="J724" i="2"/>
  <c r="K724" i="2"/>
  <c r="I725" i="2"/>
  <c r="J725" i="2"/>
  <c r="K725" i="2"/>
  <c r="I727" i="2"/>
  <c r="J727" i="2"/>
  <c r="N13" i="2" s="1" a="1"/>
  <c r="N13" i="2" s="1"/>
  <c r="K727" i="2"/>
  <c r="I728" i="2"/>
  <c r="J728" i="2"/>
  <c r="K728" i="2"/>
  <c r="I729" i="2"/>
  <c r="J729" i="2"/>
  <c r="K729" i="2"/>
  <c r="I730" i="2"/>
  <c r="J730" i="2"/>
  <c r="K730" i="2"/>
  <c r="I731" i="2"/>
  <c r="J731" i="2"/>
  <c r="K731" i="2"/>
  <c r="I732" i="2"/>
  <c r="J732" i="2"/>
  <c r="K732" i="2"/>
  <c r="I733" i="2"/>
  <c r="J733" i="2"/>
  <c r="K733" i="2"/>
  <c r="I734" i="2"/>
  <c r="J734" i="2"/>
  <c r="K734" i="2"/>
  <c r="I735" i="2"/>
  <c r="J735" i="2"/>
  <c r="K735" i="2"/>
  <c r="I736" i="2"/>
  <c r="J736" i="2"/>
  <c r="K736" i="2"/>
  <c r="I737" i="2"/>
  <c r="J737" i="2"/>
  <c r="K737" i="2"/>
  <c r="I738" i="2"/>
  <c r="J738" i="2"/>
  <c r="K738" i="2"/>
  <c r="I739" i="2"/>
  <c r="J739" i="2"/>
  <c r="K739" i="2"/>
  <c r="I740" i="2"/>
  <c r="J740" i="2"/>
  <c r="K740" i="2"/>
  <c r="I741" i="2"/>
  <c r="J741" i="2"/>
  <c r="K741" i="2"/>
  <c r="I742" i="2"/>
  <c r="J742" i="2"/>
  <c r="K742" i="2"/>
  <c r="I743" i="2"/>
  <c r="J743" i="2"/>
  <c r="K743" i="2"/>
  <c r="I744" i="2"/>
  <c r="J744" i="2"/>
  <c r="K744" i="2"/>
  <c r="I745" i="2"/>
  <c r="J745" i="2"/>
  <c r="K745" i="2"/>
  <c r="I746" i="2"/>
  <c r="J746" i="2"/>
  <c r="K746" i="2"/>
  <c r="I747" i="2"/>
  <c r="J747" i="2"/>
  <c r="K747" i="2"/>
  <c r="I748" i="2"/>
  <c r="J748" i="2"/>
  <c r="K748" i="2"/>
  <c r="I749" i="2"/>
  <c r="J749" i="2"/>
  <c r="K749" i="2"/>
  <c r="I750" i="2"/>
  <c r="J750" i="2"/>
  <c r="K750" i="2"/>
  <c r="I751" i="2"/>
  <c r="J751" i="2"/>
  <c r="K751" i="2"/>
  <c r="I752" i="2"/>
  <c r="J752" i="2"/>
  <c r="K752" i="2"/>
  <c r="I753" i="2"/>
  <c r="J753" i="2"/>
  <c r="K753" i="2"/>
  <c r="I754" i="2"/>
  <c r="J754" i="2"/>
  <c r="K754" i="2"/>
  <c r="I755" i="2"/>
  <c r="J755" i="2"/>
  <c r="K755" i="2"/>
  <c r="I756" i="2"/>
  <c r="J756" i="2"/>
  <c r="K756" i="2"/>
  <c r="I757" i="2"/>
  <c r="J757" i="2"/>
  <c r="K757" i="2"/>
  <c r="I758" i="2"/>
  <c r="J758" i="2"/>
  <c r="K758" i="2"/>
  <c r="I759" i="2"/>
  <c r="J759" i="2"/>
  <c r="K759" i="2"/>
  <c r="I760" i="2"/>
  <c r="J760" i="2"/>
  <c r="K760" i="2"/>
  <c r="I761" i="2"/>
  <c r="J761" i="2"/>
  <c r="K761" i="2"/>
  <c r="I762" i="2"/>
  <c r="J762" i="2"/>
  <c r="K762" i="2"/>
  <c r="I763" i="2"/>
  <c r="J763" i="2"/>
  <c r="K763" i="2"/>
  <c r="I764" i="2"/>
  <c r="J764" i="2"/>
  <c r="K764" i="2"/>
  <c r="I765" i="2"/>
  <c r="J765" i="2"/>
  <c r="K765" i="2"/>
  <c r="I766" i="2"/>
  <c r="J766" i="2"/>
  <c r="K766" i="2"/>
  <c r="I767" i="2"/>
  <c r="J767" i="2"/>
  <c r="K767" i="2"/>
  <c r="I768" i="2"/>
  <c r="J768" i="2"/>
  <c r="K768" i="2"/>
  <c r="I769" i="2"/>
  <c r="J769" i="2"/>
  <c r="K769" i="2"/>
  <c r="I770" i="2"/>
  <c r="J770" i="2"/>
  <c r="K770" i="2"/>
  <c r="I771" i="2"/>
  <c r="J771" i="2"/>
  <c r="K771" i="2"/>
  <c r="I772" i="2"/>
  <c r="J772" i="2"/>
  <c r="K772" i="2"/>
  <c r="I773" i="2"/>
  <c r="J773" i="2"/>
  <c r="K773" i="2"/>
  <c r="I774" i="2"/>
  <c r="J774" i="2"/>
  <c r="K774" i="2"/>
  <c r="I775" i="2"/>
  <c r="J775" i="2"/>
  <c r="K775" i="2"/>
  <c r="I776" i="2"/>
  <c r="J776" i="2"/>
  <c r="K776" i="2"/>
  <c r="I777" i="2"/>
  <c r="J777" i="2"/>
  <c r="K777" i="2"/>
  <c r="I778" i="2"/>
  <c r="J778" i="2"/>
  <c r="K778" i="2"/>
  <c r="I779" i="2"/>
  <c r="J779" i="2"/>
  <c r="K779" i="2"/>
  <c r="I780" i="2"/>
  <c r="J780" i="2"/>
  <c r="K780" i="2"/>
  <c r="I781" i="2"/>
  <c r="J781" i="2"/>
  <c r="K781" i="2"/>
  <c r="I782" i="2"/>
  <c r="J782" i="2"/>
  <c r="K782" i="2"/>
  <c r="I783" i="2"/>
  <c r="J783" i="2"/>
  <c r="K783" i="2"/>
  <c r="I784" i="2"/>
  <c r="J784" i="2"/>
  <c r="K784" i="2"/>
  <c r="I785" i="2"/>
  <c r="J785" i="2"/>
  <c r="K785" i="2"/>
  <c r="I786" i="2"/>
  <c r="J786" i="2"/>
  <c r="K786" i="2"/>
  <c r="I787" i="2"/>
  <c r="J787" i="2"/>
  <c r="K787" i="2"/>
  <c r="I788" i="2"/>
  <c r="J788" i="2"/>
  <c r="K788" i="2"/>
  <c r="I789" i="2"/>
  <c r="J789" i="2"/>
  <c r="K789" i="2"/>
  <c r="I790" i="2"/>
  <c r="J790" i="2"/>
  <c r="K790" i="2"/>
  <c r="I791" i="2"/>
  <c r="J791" i="2"/>
  <c r="K791" i="2"/>
  <c r="I792" i="2"/>
  <c r="J792" i="2"/>
  <c r="K792" i="2"/>
  <c r="I793" i="2"/>
  <c r="J793" i="2"/>
  <c r="K793" i="2"/>
  <c r="I794" i="2"/>
  <c r="J794" i="2"/>
  <c r="K794" i="2"/>
  <c r="I795" i="2"/>
  <c r="J795" i="2"/>
  <c r="K795" i="2"/>
  <c r="I796" i="2"/>
  <c r="J796" i="2"/>
  <c r="K796" i="2"/>
  <c r="I797" i="2"/>
  <c r="J797" i="2"/>
  <c r="K797" i="2"/>
  <c r="I798" i="2"/>
  <c r="J798" i="2"/>
  <c r="K798" i="2"/>
  <c r="I799" i="2"/>
  <c r="J799" i="2"/>
  <c r="K799" i="2"/>
  <c r="I800" i="2"/>
  <c r="J800" i="2"/>
  <c r="K800" i="2"/>
  <c r="I801" i="2"/>
  <c r="J801" i="2"/>
  <c r="K801" i="2"/>
  <c r="I802" i="2"/>
  <c r="J802" i="2"/>
  <c r="K802" i="2"/>
  <c r="I803" i="2"/>
  <c r="J803" i="2"/>
  <c r="K803" i="2"/>
  <c r="I804" i="2"/>
  <c r="J804" i="2"/>
  <c r="K804" i="2"/>
  <c r="I805" i="2"/>
  <c r="J805" i="2"/>
  <c r="K805" i="2"/>
  <c r="I806" i="2"/>
  <c r="J806" i="2"/>
  <c r="K806" i="2"/>
  <c r="I807" i="2"/>
  <c r="J807" i="2"/>
  <c r="K807" i="2"/>
  <c r="I808" i="2"/>
  <c r="J808" i="2"/>
  <c r="K808" i="2"/>
  <c r="I809" i="2"/>
  <c r="J809" i="2"/>
  <c r="K809" i="2"/>
  <c r="I810" i="2"/>
  <c r="J810" i="2"/>
  <c r="K810" i="2"/>
  <c r="I811" i="2"/>
  <c r="J811" i="2"/>
  <c r="K811" i="2"/>
  <c r="I812" i="2"/>
  <c r="J812" i="2"/>
  <c r="K812" i="2"/>
  <c r="I813" i="2"/>
  <c r="J813" i="2"/>
  <c r="K813" i="2"/>
  <c r="I814" i="2"/>
  <c r="J814" i="2"/>
  <c r="K814" i="2"/>
  <c r="I815" i="2"/>
  <c r="J815" i="2"/>
  <c r="K815" i="2"/>
  <c r="I816" i="2"/>
  <c r="J816" i="2"/>
  <c r="K816" i="2"/>
  <c r="I817" i="2"/>
  <c r="J817" i="2"/>
  <c r="K817" i="2"/>
  <c r="I818" i="2"/>
  <c r="J818" i="2"/>
  <c r="K818" i="2"/>
  <c r="I819" i="2"/>
  <c r="J819" i="2"/>
  <c r="K819" i="2"/>
  <c r="I820" i="2"/>
  <c r="J820" i="2"/>
  <c r="K820" i="2"/>
  <c r="I821" i="2"/>
  <c r="J821" i="2"/>
  <c r="K821" i="2"/>
  <c r="I822" i="2"/>
  <c r="J822" i="2"/>
  <c r="K822" i="2"/>
  <c r="I823" i="2"/>
  <c r="J823" i="2"/>
  <c r="K823" i="2"/>
  <c r="I824" i="2"/>
  <c r="J824" i="2"/>
  <c r="K824" i="2"/>
  <c r="I825" i="2"/>
  <c r="J825" i="2"/>
  <c r="K825" i="2"/>
  <c r="I826" i="2"/>
  <c r="J826" i="2"/>
  <c r="K826" i="2"/>
  <c r="I827" i="2"/>
  <c r="J827" i="2"/>
  <c r="K827" i="2"/>
  <c r="I828" i="2"/>
  <c r="J828" i="2"/>
  <c r="K828" i="2"/>
  <c r="I829" i="2"/>
  <c r="J829" i="2"/>
  <c r="K829" i="2"/>
  <c r="I830" i="2"/>
  <c r="J830" i="2"/>
  <c r="K830" i="2"/>
  <c r="I831" i="2"/>
  <c r="J831" i="2"/>
  <c r="K831" i="2"/>
  <c r="I832" i="2"/>
  <c r="J832" i="2"/>
  <c r="K832" i="2"/>
  <c r="I833" i="2"/>
  <c r="J833" i="2"/>
  <c r="K833" i="2"/>
  <c r="I834" i="2"/>
  <c r="J834" i="2"/>
  <c r="K834" i="2"/>
  <c r="I835" i="2"/>
  <c r="J835" i="2"/>
  <c r="K835" i="2"/>
  <c r="I836" i="2"/>
  <c r="J836" i="2"/>
  <c r="K836" i="2"/>
  <c r="I837" i="2"/>
  <c r="J837" i="2"/>
  <c r="K837" i="2"/>
  <c r="I838" i="2"/>
  <c r="J838" i="2"/>
  <c r="K838" i="2"/>
  <c r="I839" i="2"/>
  <c r="J839" i="2"/>
  <c r="K839" i="2"/>
  <c r="I840" i="2"/>
  <c r="J840" i="2"/>
  <c r="K840" i="2"/>
  <c r="I841" i="2"/>
  <c r="J841" i="2"/>
  <c r="K841" i="2"/>
  <c r="I842" i="2"/>
  <c r="J842" i="2"/>
  <c r="K842" i="2"/>
  <c r="I843" i="2"/>
  <c r="J843" i="2"/>
  <c r="K843" i="2"/>
  <c r="I844" i="2"/>
  <c r="J844" i="2"/>
  <c r="K844" i="2"/>
  <c r="I845" i="2"/>
  <c r="J845" i="2"/>
  <c r="K845" i="2"/>
  <c r="I846" i="2"/>
  <c r="J846" i="2"/>
  <c r="K846" i="2"/>
  <c r="I847" i="2"/>
  <c r="J847" i="2"/>
  <c r="K847" i="2"/>
  <c r="I848" i="2"/>
  <c r="J848" i="2"/>
  <c r="K848" i="2"/>
  <c r="I849" i="2"/>
  <c r="J849" i="2"/>
  <c r="K849" i="2"/>
  <c r="I850" i="2"/>
  <c r="J850" i="2"/>
  <c r="K850" i="2"/>
  <c r="I851" i="2"/>
  <c r="J851" i="2"/>
  <c r="K851" i="2"/>
  <c r="I852" i="2"/>
  <c r="J852" i="2"/>
  <c r="K852" i="2"/>
  <c r="I853" i="2"/>
  <c r="J853" i="2"/>
  <c r="K853" i="2"/>
  <c r="I854" i="2"/>
  <c r="J854" i="2"/>
  <c r="K854" i="2"/>
  <c r="I855" i="2"/>
  <c r="J855" i="2"/>
  <c r="K855" i="2"/>
  <c r="I856" i="2"/>
  <c r="J856" i="2"/>
  <c r="K856" i="2"/>
  <c r="I857" i="2"/>
  <c r="J857" i="2"/>
  <c r="K857" i="2"/>
  <c r="I858" i="2"/>
  <c r="J858" i="2"/>
  <c r="K858" i="2"/>
  <c r="I859" i="2"/>
  <c r="J859" i="2"/>
  <c r="K859" i="2"/>
  <c r="I860" i="2"/>
  <c r="J860" i="2"/>
  <c r="K860" i="2"/>
  <c r="I861" i="2"/>
  <c r="J861" i="2"/>
  <c r="K861" i="2"/>
  <c r="I862" i="2"/>
  <c r="J862" i="2"/>
  <c r="K862" i="2"/>
  <c r="I863" i="2"/>
  <c r="J863" i="2"/>
  <c r="K863" i="2"/>
  <c r="I864" i="2"/>
  <c r="J864" i="2"/>
  <c r="K864" i="2"/>
  <c r="I865" i="2"/>
  <c r="J865" i="2"/>
  <c r="K865" i="2"/>
  <c r="I866" i="2"/>
  <c r="J866" i="2"/>
  <c r="K866" i="2"/>
  <c r="I867" i="2"/>
  <c r="J867" i="2"/>
  <c r="K867" i="2"/>
  <c r="I868" i="2"/>
  <c r="J868" i="2"/>
  <c r="K868" i="2"/>
  <c r="I869" i="2"/>
  <c r="J869" i="2"/>
  <c r="K869" i="2"/>
  <c r="I870" i="2"/>
  <c r="J870" i="2"/>
  <c r="K870" i="2"/>
  <c r="I871" i="2"/>
  <c r="J871" i="2"/>
  <c r="K871" i="2"/>
  <c r="I872" i="2"/>
  <c r="J872" i="2"/>
  <c r="K872" i="2"/>
  <c r="I873" i="2"/>
  <c r="J873" i="2"/>
  <c r="K873" i="2"/>
  <c r="I874" i="2"/>
  <c r="J874" i="2"/>
  <c r="K874" i="2"/>
  <c r="I875" i="2"/>
  <c r="J875" i="2"/>
  <c r="K875" i="2"/>
  <c r="I876" i="2"/>
  <c r="J876" i="2"/>
  <c r="K876" i="2"/>
  <c r="I877" i="2"/>
  <c r="J877" i="2"/>
  <c r="K877" i="2"/>
  <c r="I878" i="2"/>
  <c r="J878" i="2"/>
  <c r="K878" i="2"/>
  <c r="I879" i="2"/>
  <c r="J879" i="2"/>
  <c r="K879" i="2"/>
  <c r="I880" i="2"/>
  <c r="J880" i="2"/>
  <c r="K880" i="2"/>
  <c r="I881" i="2"/>
  <c r="J881" i="2"/>
  <c r="K881" i="2"/>
  <c r="I882" i="2"/>
  <c r="J882" i="2"/>
  <c r="K882" i="2"/>
  <c r="I883" i="2"/>
  <c r="J883" i="2"/>
  <c r="K883" i="2"/>
  <c r="I884" i="2"/>
  <c r="J884" i="2"/>
  <c r="K884" i="2"/>
  <c r="I885" i="2"/>
  <c r="J885" i="2"/>
  <c r="K885" i="2"/>
  <c r="I886" i="2"/>
  <c r="J886" i="2"/>
  <c r="K886" i="2"/>
  <c r="I887" i="2"/>
  <c r="J887" i="2"/>
  <c r="K887" i="2"/>
  <c r="I888" i="2"/>
  <c r="J888" i="2"/>
  <c r="K888" i="2"/>
  <c r="I889" i="2"/>
  <c r="J889" i="2"/>
  <c r="K889" i="2"/>
  <c r="I890" i="2"/>
  <c r="J890" i="2"/>
  <c r="K890" i="2"/>
  <c r="I891" i="2"/>
  <c r="J891" i="2"/>
  <c r="K891" i="2"/>
  <c r="I892" i="2"/>
  <c r="J892" i="2"/>
  <c r="K892" i="2"/>
  <c r="I893" i="2"/>
  <c r="J893" i="2"/>
  <c r="K893" i="2"/>
  <c r="I894" i="2"/>
  <c r="J894" i="2"/>
  <c r="K894" i="2"/>
  <c r="I895" i="2"/>
  <c r="J895" i="2"/>
  <c r="K895" i="2"/>
  <c r="I896" i="2"/>
  <c r="J896" i="2"/>
  <c r="K896" i="2"/>
  <c r="I897" i="2"/>
  <c r="J897" i="2"/>
  <c r="K897" i="2"/>
  <c r="I898" i="2"/>
  <c r="J898" i="2"/>
  <c r="K898" i="2"/>
  <c r="I899" i="2"/>
  <c r="J899" i="2"/>
  <c r="K899" i="2"/>
  <c r="I900" i="2"/>
  <c r="J900" i="2"/>
  <c r="K900" i="2"/>
  <c r="I901" i="2"/>
  <c r="J901" i="2"/>
  <c r="K901" i="2"/>
  <c r="I902" i="2"/>
  <c r="J902" i="2"/>
  <c r="K902" i="2"/>
  <c r="I903" i="2"/>
  <c r="J903" i="2"/>
  <c r="K903" i="2"/>
  <c r="I904" i="2"/>
  <c r="J904" i="2"/>
  <c r="K904" i="2"/>
  <c r="I905" i="2"/>
  <c r="J905" i="2"/>
  <c r="K905" i="2"/>
  <c r="I906" i="2"/>
  <c r="J906" i="2"/>
  <c r="K906" i="2"/>
  <c r="I908" i="2"/>
  <c r="J908" i="2"/>
  <c r="K908" i="2"/>
  <c r="I909" i="2"/>
  <c r="J909" i="2"/>
  <c r="K909" i="2"/>
  <c r="I910" i="2"/>
  <c r="J910" i="2"/>
  <c r="K910" i="2"/>
  <c r="I911" i="2"/>
  <c r="J911" i="2"/>
  <c r="K911" i="2"/>
  <c r="I912" i="2"/>
  <c r="J912" i="2"/>
  <c r="K912" i="2"/>
  <c r="I913" i="2"/>
  <c r="J913" i="2"/>
  <c r="K913" i="2"/>
  <c r="I914" i="2"/>
  <c r="J914" i="2"/>
  <c r="K914" i="2"/>
  <c r="I915" i="2"/>
  <c r="J915" i="2"/>
  <c r="K915" i="2"/>
  <c r="I916" i="2"/>
  <c r="J916" i="2"/>
  <c r="K916" i="2"/>
  <c r="I917" i="2"/>
  <c r="J917" i="2"/>
  <c r="K917" i="2"/>
  <c r="I918" i="2"/>
  <c r="J918" i="2"/>
  <c r="K918" i="2"/>
  <c r="I919" i="2"/>
  <c r="J919" i="2"/>
  <c r="K919" i="2"/>
  <c r="I920" i="2"/>
  <c r="J920" i="2"/>
  <c r="K920" i="2"/>
  <c r="I921" i="2"/>
  <c r="J921" i="2"/>
  <c r="K921" i="2"/>
  <c r="I922" i="2"/>
  <c r="J922" i="2"/>
  <c r="K922" i="2"/>
  <c r="I923" i="2"/>
  <c r="J923" i="2"/>
  <c r="K923" i="2"/>
  <c r="I924" i="2"/>
  <c r="J924" i="2"/>
  <c r="K924" i="2"/>
  <c r="I925" i="2"/>
  <c r="J925" i="2"/>
  <c r="K925" i="2"/>
  <c r="I926" i="2"/>
  <c r="J926" i="2"/>
  <c r="K926" i="2"/>
  <c r="I927" i="2"/>
  <c r="J927" i="2"/>
  <c r="K927" i="2"/>
  <c r="I928" i="2"/>
  <c r="J928" i="2"/>
  <c r="K928" i="2"/>
  <c r="I929" i="2"/>
  <c r="J929" i="2"/>
  <c r="K929" i="2"/>
  <c r="I930" i="2"/>
  <c r="J930" i="2"/>
  <c r="K930" i="2"/>
  <c r="I931" i="2"/>
  <c r="J931" i="2"/>
  <c r="K931" i="2"/>
  <c r="I932" i="2"/>
  <c r="J932" i="2"/>
  <c r="K932" i="2"/>
  <c r="I933" i="2"/>
  <c r="J933" i="2"/>
  <c r="K933" i="2"/>
  <c r="I934" i="2"/>
  <c r="J934" i="2"/>
  <c r="K934" i="2"/>
  <c r="I935" i="2"/>
  <c r="J935" i="2"/>
  <c r="K935" i="2"/>
  <c r="I936" i="2"/>
  <c r="J936" i="2"/>
  <c r="K936" i="2"/>
  <c r="I937" i="2"/>
  <c r="J937" i="2"/>
  <c r="K937" i="2"/>
  <c r="I938" i="2"/>
  <c r="J938" i="2"/>
  <c r="K938" i="2"/>
  <c r="I939" i="2"/>
  <c r="J939" i="2"/>
  <c r="K939" i="2"/>
  <c r="I940" i="2"/>
  <c r="J940" i="2"/>
  <c r="K940" i="2"/>
  <c r="I941" i="2"/>
  <c r="J941" i="2"/>
  <c r="K941" i="2"/>
  <c r="I942" i="2"/>
  <c r="J942" i="2"/>
  <c r="K942" i="2"/>
  <c r="I943" i="2"/>
  <c r="J943" i="2"/>
  <c r="K943" i="2"/>
  <c r="I944" i="2"/>
  <c r="J944" i="2"/>
  <c r="K944" i="2"/>
  <c r="I945" i="2"/>
  <c r="J945" i="2"/>
  <c r="K945" i="2"/>
  <c r="I946" i="2"/>
  <c r="J946" i="2"/>
  <c r="K946" i="2"/>
  <c r="I947" i="2"/>
  <c r="J947" i="2"/>
  <c r="K947" i="2"/>
  <c r="I948" i="2"/>
  <c r="J948" i="2"/>
  <c r="K948" i="2"/>
  <c r="I949" i="2"/>
  <c r="J949" i="2"/>
  <c r="K949" i="2"/>
  <c r="I950" i="2"/>
  <c r="J950" i="2"/>
  <c r="K950" i="2"/>
  <c r="I951" i="2"/>
  <c r="J951" i="2"/>
  <c r="K951" i="2"/>
  <c r="I952" i="2"/>
  <c r="J952" i="2"/>
  <c r="K952" i="2"/>
  <c r="I953" i="2"/>
  <c r="J953" i="2"/>
  <c r="K953" i="2"/>
  <c r="I954" i="2"/>
  <c r="J954" i="2"/>
  <c r="K954" i="2"/>
  <c r="I955" i="2"/>
  <c r="J955" i="2"/>
  <c r="K955" i="2"/>
  <c r="I956" i="2"/>
  <c r="J956" i="2"/>
  <c r="K956" i="2"/>
  <c r="I957" i="2"/>
  <c r="J957" i="2"/>
  <c r="K957" i="2"/>
  <c r="I958" i="2"/>
  <c r="J958" i="2"/>
  <c r="K958" i="2"/>
  <c r="I959" i="2"/>
  <c r="J959" i="2"/>
  <c r="K959" i="2"/>
  <c r="I960" i="2"/>
  <c r="J960" i="2"/>
  <c r="K960" i="2"/>
  <c r="I961" i="2"/>
  <c r="J961" i="2"/>
  <c r="K961" i="2"/>
  <c r="I962" i="2"/>
  <c r="J962" i="2"/>
  <c r="K962" i="2"/>
  <c r="I963" i="2"/>
  <c r="J963" i="2"/>
  <c r="K963" i="2"/>
  <c r="I964" i="2"/>
  <c r="J964" i="2"/>
  <c r="K964" i="2"/>
  <c r="I965" i="2"/>
  <c r="J965" i="2"/>
  <c r="K965" i="2"/>
  <c r="I966" i="2"/>
  <c r="J966" i="2"/>
  <c r="K966" i="2"/>
  <c r="I967" i="2"/>
  <c r="J967" i="2"/>
  <c r="K967" i="2"/>
  <c r="I968" i="2"/>
  <c r="J968" i="2"/>
  <c r="K968" i="2"/>
  <c r="I969" i="2"/>
  <c r="J969" i="2"/>
  <c r="K969" i="2"/>
  <c r="I970" i="2"/>
  <c r="J970" i="2"/>
  <c r="K970" i="2"/>
  <c r="I971" i="2"/>
  <c r="J971" i="2"/>
  <c r="K971" i="2"/>
  <c r="I972" i="2"/>
  <c r="J972" i="2"/>
  <c r="K972" i="2"/>
  <c r="I973" i="2"/>
  <c r="J973" i="2"/>
  <c r="K973" i="2"/>
  <c r="I974" i="2"/>
  <c r="J974" i="2"/>
  <c r="K974" i="2"/>
  <c r="I975" i="2"/>
  <c r="J975" i="2"/>
  <c r="K975" i="2"/>
  <c r="I976" i="2"/>
  <c r="J976" i="2"/>
  <c r="K976" i="2"/>
  <c r="I977" i="2"/>
  <c r="J977" i="2"/>
  <c r="K977" i="2"/>
  <c r="I978" i="2"/>
  <c r="J978" i="2"/>
  <c r="K978" i="2"/>
  <c r="I979" i="2"/>
  <c r="J979" i="2"/>
  <c r="K979" i="2"/>
  <c r="I980" i="2"/>
  <c r="J980" i="2"/>
  <c r="K980" i="2"/>
  <c r="I981" i="2"/>
  <c r="J981" i="2"/>
  <c r="K981" i="2"/>
  <c r="I982" i="2"/>
  <c r="J982" i="2"/>
  <c r="K982" i="2"/>
  <c r="I983" i="2"/>
  <c r="J983" i="2"/>
  <c r="K983" i="2"/>
  <c r="I984" i="2"/>
  <c r="J984" i="2"/>
  <c r="K984" i="2"/>
  <c r="I985" i="2"/>
  <c r="J985" i="2"/>
  <c r="K985" i="2"/>
  <c r="I986" i="2"/>
  <c r="J986" i="2"/>
  <c r="K986" i="2"/>
  <c r="I987" i="2"/>
  <c r="J987" i="2"/>
  <c r="K987" i="2"/>
  <c r="I988" i="2"/>
  <c r="J988" i="2"/>
  <c r="K988" i="2"/>
  <c r="I989" i="2"/>
  <c r="J989" i="2"/>
  <c r="K989" i="2"/>
  <c r="I990" i="2"/>
  <c r="J990" i="2"/>
  <c r="K990" i="2"/>
  <c r="I991" i="2"/>
  <c r="J991" i="2"/>
  <c r="K991" i="2"/>
  <c r="I992" i="2"/>
  <c r="J992" i="2"/>
  <c r="K992" i="2"/>
  <c r="I993" i="2"/>
  <c r="J993" i="2"/>
  <c r="K993" i="2"/>
  <c r="I994" i="2"/>
  <c r="J994" i="2"/>
  <c r="K994" i="2"/>
  <c r="I995" i="2"/>
  <c r="J995" i="2"/>
  <c r="K995" i="2"/>
  <c r="I996" i="2"/>
  <c r="J996" i="2"/>
  <c r="K996" i="2"/>
  <c r="I997" i="2"/>
  <c r="J997" i="2"/>
  <c r="K997" i="2"/>
  <c r="I998" i="2"/>
  <c r="J998" i="2"/>
  <c r="K998" i="2"/>
  <c r="I999" i="2"/>
  <c r="J999" i="2"/>
  <c r="K999" i="2"/>
  <c r="I1000" i="2"/>
  <c r="J1000" i="2"/>
  <c r="K1000" i="2"/>
  <c r="I1001" i="2"/>
  <c r="J1001" i="2"/>
  <c r="K1001" i="2"/>
  <c r="I1002" i="2"/>
  <c r="J1002" i="2"/>
  <c r="K1002" i="2"/>
  <c r="I1003" i="2"/>
  <c r="J1003" i="2"/>
  <c r="K1003" i="2"/>
  <c r="I1004" i="2"/>
  <c r="J1004" i="2"/>
  <c r="K1004" i="2"/>
  <c r="I1005" i="2"/>
  <c r="J1005" i="2"/>
  <c r="K1005" i="2"/>
  <c r="I1006" i="2"/>
  <c r="J1006" i="2"/>
  <c r="K1006" i="2"/>
  <c r="I1007" i="2"/>
  <c r="J1007" i="2"/>
  <c r="K1007" i="2"/>
  <c r="I1008" i="2"/>
  <c r="J1008" i="2"/>
  <c r="K1008" i="2"/>
  <c r="I1009" i="2"/>
  <c r="J1009" i="2"/>
  <c r="K1009" i="2"/>
  <c r="I1010" i="2"/>
  <c r="J1010" i="2"/>
  <c r="K1010" i="2"/>
  <c r="I1011" i="2"/>
  <c r="J1011" i="2"/>
  <c r="K1011" i="2"/>
  <c r="I1012" i="2"/>
  <c r="J1012" i="2"/>
  <c r="K1012" i="2"/>
  <c r="I1013" i="2"/>
  <c r="J1013" i="2"/>
  <c r="K1013" i="2"/>
  <c r="I1014" i="2"/>
  <c r="J1014" i="2"/>
  <c r="K1014" i="2"/>
  <c r="I1015" i="2"/>
  <c r="J1015" i="2"/>
  <c r="K1015" i="2"/>
  <c r="I1016" i="2"/>
  <c r="J1016" i="2"/>
  <c r="K1016" i="2"/>
  <c r="I1017" i="2"/>
  <c r="J1017" i="2"/>
  <c r="K1017" i="2"/>
  <c r="I1018" i="2"/>
  <c r="J1018" i="2"/>
  <c r="K1018" i="2"/>
  <c r="I1019" i="2"/>
  <c r="J1019" i="2"/>
  <c r="K1019" i="2"/>
  <c r="I1020" i="2"/>
  <c r="J1020" i="2"/>
  <c r="K1020" i="2"/>
  <c r="I1021" i="2"/>
  <c r="J1021" i="2"/>
  <c r="K1021" i="2"/>
  <c r="I1022" i="2"/>
  <c r="J1022" i="2"/>
  <c r="K1022" i="2"/>
  <c r="I1023" i="2"/>
  <c r="J1023" i="2"/>
  <c r="K1023" i="2"/>
  <c r="I1024" i="2"/>
  <c r="J1024" i="2"/>
  <c r="K1024" i="2"/>
  <c r="I1025" i="2"/>
  <c r="J1025" i="2"/>
  <c r="K1025" i="2"/>
  <c r="I1026" i="2"/>
  <c r="J1026" i="2"/>
  <c r="K1026" i="2"/>
  <c r="I1027" i="2"/>
  <c r="J1027" i="2"/>
  <c r="K1027" i="2"/>
  <c r="I1028" i="2"/>
  <c r="J1028" i="2"/>
  <c r="K1028" i="2"/>
  <c r="I1029" i="2"/>
  <c r="J1029" i="2"/>
  <c r="K1029" i="2"/>
  <c r="I1030" i="2"/>
  <c r="J1030" i="2"/>
  <c r="K1030" i="2"/>
  <c r="I1031" i="2"/>
  <c r="J1031" i="2"/>
  <c r="K1031" i="2"/>
  <c r="I1032" i="2"/>
  <c r="J1032" i="2"/>
  <c r="K1032" i="2"/>
  <c r="I1033" i="2"/>
  <c r="J1033" i="2"/>
  <c r="K1033" i="2"/>
  <c r="I1034" i="2"/>
  <c r="J1034" i="2"/>
  <c r="K1034" i="2"/>
  <c r="I1035" i="2"/>
  <c r="J1035" i="2"/>
  <c r="K1035" i="2"/>
  <c r="I1036" i="2"/>
  <c r="J1036" i="2"/>
  <c r="K1036" i="2"/>
  <c r="I1037" i="2"/>
  <c r="J1037" i="2"/>
  <c r="K1037" i="2"/>
  <c r="I1038" i="2"/>
  <c r="J1038" i="2"/>
  <c r="K1038" i="2"/>
  <c r="I1039" i="2"/>
  <c r="J1039" i="2"/>
  <c r="K1039" i="2"/>
  <c r="I1040" i="2"/>
  <c r="J1040" i="2"/>
  <c r="K1040" i="2"/>
  <c r="I1041" i="2"/>
  <c r="J1041" i="2"/>
  <c r="K1041" i="2"/>
  <c r="I1042" i="2"/>
  <c r="J1042" i="2"/>
  <c r="K1042" i="2"/>
  <c r="I1043" i="2"/>
  <c r="J1043" i="2"/>
  <c r="K1043" i="2"/>
  <c r="I1044" i="2"/>
  <c r="J1044" i="2"/>
  <c r="K1044" i="2"/>
  <c r="I1045" i="2"/>
  <c r="J1045" i="2"/>
  <c r="K1045" i="2"/>
  <c r="I1046" i="2"/>
  <c r="J1046" i="2"/>
  <c r="K1046" i="2"/>
  <c r="I1047" i="2"/>
  <c r="J1047" i="2"/>
  <c r="K1047" i="2"/>
  <c r="I1048" i="2"/>
  <c r="J1048" i="2"/>
  <c r="K1048" i="2"/>
  <c r="I1049" i="2"/>
  <c r="J1049" i="2"/>
  <c r="K1049" i="2"/>
  <c r="I1050" i="2"/>
  <c r="J1050" i="2"/>
  <c r="K1050" i="2"/>
  <c r="I1051" i="2"/>
  <c r="J1051" i="2"/>
  <c r="K1051" i="2"/>
  <c r="I1052" i="2"/>
  <c r="J1052" i="2"/>
  <c r="K1052" i="2"/>
  <c r="I1053" i="2"/>
  <c r="J1053" i="2"/>
  <c r="K1053" i="2"/>
  <c r="I1054" i="2"/>
  <c r="J1054" i="2"/>
  <c r="K1054" i="2"/>
  <c r="I1055" i="2"/>
  <c r="J1055" i="2"/>
  <c r="K1055" i="2"/>
  <c r="I1056" i="2"/>
  <c r="J1056" i="2"/>
  <c r="K1056" i="2"/>
  <c r="I1057" i="2"/>
  <c r="J1057" i="2"/>
  <c r="K1057" i="2"/>
  <c r="I1058" i="2"/>
  <c r="J1058" i="2"/>
  <c r="K1058" i="2"/>
  <c r="I1059" i="2"/>
  <c r="J1059" i="2"/>
  <c r="K1059" i="2"/>
  <c r="I1060" i="2"/>
  <c r="J1060" i="2"/>
  <c r="K1060" i="2"/>
  <c r="I1061" i="2"/>
  <c r="J1061" i="2"/>
  <c r="K1061" i="2"/>
  <c r="I1062" i="2"/>
  <c r="J1062" i="2"/>
  <c r="K1062" i="2"/>
  <c r="I1063" i="2"/>
  <c r="J1063" i="2"/>
  <c r="K1063" i="2"/>
  <c r="I1064" i="2"/>
  <c r="J1064" i="2"/>
  <c r="K1064" i="2"/>
  <c r="I1065" i="2"/>
  <c r="J1065" i="2"/>
  <c r="K1065" i="2"/>
  <c r="I1066" i="2"/>
  <c r="J1066" i="2"/>
  <c r="K1066" i="2"/>
  <c r="I1067" i="2"/>
  <c r="J1067" i="2"/>
  <c r="K1067" i="2"/>
  <c r="I1068" i="2"/>
  <c r="J1068" i="2"/>
  <c r="K1068" i="2"/>
  <c r="I1069" i="2"/>
  <c r="J1069" i="2"/>
  <c r="K1069" i="2"/>
  <c r="I1070" i="2"/>
  <c r="J1070" i="2"/>
  <c r="K1070" i="2"/>
  <c r="I1071" i="2"/>
  <c r="J1071" i="2"/>
  <c r="K1071" i="2"/>
  <c r="I1072" i="2"/>
  <c r="J1072" i="2"/>
  <c r="K1072" i="2"/>
  <c r="I1073" i="2"/>
  <c r="J1073" i="2"/>
  <c r="K1073" i="2"/>
  <c r="I1074" i="2"/>
  <c r="J1074" i="2"/>
  <c r="K1074" i="2"/>
  <c r="I1075" i="2"/>
  <c r="J1075" i="2"/>
  <c r="K1075" i="2"/>
  <c r="I1076" i="2"/>
  <c r="J1076" i="2"/>
  <c r="K1076" i="2"/>
  <c r="I1077" i="2"/>
  <c r="J1077" i="2"/>
  <c r="K1077" i="2"/>
  <c r="I1078" i="2"/>
  <c r="J1078" i="2"/>
  <c r="K1078" i="2"/>
  <c r="I1079" i="2"/>
  <c r="J1079" i="2"/>
  <c r="K1079" i="2"/>
  <c r="I1080" i="2"/>
  <c r="J1080" i="2"/>
  <c r="K1080" i="2"/>
  <c r="I1081" i="2"/>
  <c r="J1081" i="2"/>
  <c r="K1081" i="2"/>
  <c r="I1082" i="2"/>
  <c r="J1082" i="2"/>
  <c r="K1082" i="2"/>
  <c r="I1083" i="2"/>
  <c r="J1083" i="2"/>
  <c r="K1083" i="2"/>
  <c r="I1084" i="2"/>
  <c r="J1084" i="2"/>
  <c r="K1084" i="2"/>
  <c r="I1085" i="2"/>
  <c r="J1085" i="2"/>
  <c r="K1085" i="2"/>
  <c r="I1086" i="2"/>
  <c r="J1086" i="2"/>
  <c r="K1086" i="2"/>
  <c r="I1087" i="2"/>
  <c r="J1087" i="2"/>
  <c r="K1087" i="2"/>
  <c r="I1089" i="2"/>
  <c r="J1089" i="2"/>
  <c r="N15" i="2" s="1" a="1"/>
  <c r="N15" i="2" s="1"/>
  <c r="K1089" i="2"/>
  <c r="I1090" i="2"/>
  <c r="J1090" i="2"/>
  <c r="K1090" i="2"/>
  <c r="I1091" i="2"/>
  <c r="J1091" i="2"/>
  <c r="K1091" i="2"/>
  <c r="I1092" i="2"/>
  <c r="J1092" i="2"/>
  <c r="K1092" i="2"/>
  <c r="I1093" i="2"/>
  <c r="J1093" i="2"/>
  <c r="K1093" i="2"/>
  <c r="I1094" i="2"/>
  <c r="J1094" i="2"/>
  <c r="K1094" i="2"/>
  <c r="I1095" i="2"/>
  <c r="J1095" i="2"/>
  <c r="K1095" i="2"/>
  <c r="I1096" i="2"/>
  <c r="J1096" i="2"/>
  <c r="K1096" i="2"/>
  <c r="I1097" i="2"/>
  <c r="J1097" i="2"/>
  <c r="K1097" i="2"/>
  <c r="I1098" i="2"/>
  <c r="J1098" i="2"/>
  <c r="K1098" i="2"/>
  <c r="I1099" i="2"/>
  <c r="J1099" i="2"/>
  <c r="K1099" i="2"/>
  <c r="I1100" i="2"/>
  <c r="J1100" i="2"/>
  <c r="K1100" i="2"/>
  <c r="I1101" i="2"/>
  <c r="J1101" i="2"/>
  <c r="K1101" i="2"/>
  <c r="I1102" i="2"/>
  <c r="J1102" i="2"/>
  <c r="K1102" i="2"/>
  <c r="I1103" i="2"/>
  <c r="J1103" i="2"/>
  <c r="K1103" i="2"/>
  <c r="I1104" i="2"/>
  <c r="J1104" i="2"/>
  <c r="K1104" i="2"/>
  <c r="I1105" i="2"/>
  <c r="J1105" i="2"/>
  <c r="K1105" i="2"/>
  <c r="I1106" i="2"/>
  <c r="J1106" i="2"/>
  <c r="K1106" i="2"/>
  <c r="I1107" i="2"/>
  <c r="J1107" i="2"/>
  <c r="K1107" i="2"/>
  <c r="I1108" i="2"/>
  <c r="J1108" i="2"/>
  <c r="K1108" i="2"/>
  <c r="I1109" i="2"/>
  <c r="J1109" i="2"/>
  <c r="K1109" i="2"/>
  <c r="I1110" i="2"/>
  <c r="J1110" i="2"/>
  <c r="K1110" i="2"/>
  <c r="I1111" i="2"/>
  <c r="J1111" i="2"/>
  <c r="K1111" i="2"/>
  <c r="I1112" i="2"/>
  <c r="J1112" i="2"/>
  <c r="K1112" i="2"/>
  <c r="I1113" i="2"/>
  <c r="J1113" i="2"/>
  <c r="K1113" i="2"/>
  <c r="I1114" i="2"/>
  <c r="J1114" i="2"/>
  <c r="K1114" i="2"/>
  <c r="I1115" i="2"/>
  <c r="J1115" i="2"/>
  <c r="K1115" i="2"/>
  <c r="I1116" i="2"/>
  <c r="J1116" i="2"/>
  <c r="K1116" i="2"/>
  <c r="I1117" i="2"/>
  <c r="J1117" i="2"/>
  <c r="K1117" i="2"/>
  <c r="I1118" i="2"/>
  <c r="J1118" i="2"/>
  <c r="K1118" i="2"/>
  <c r="I1119" i="2"/>
  <c r="J1119" i="2"/>
  <c r="K1119" i="2"/>
  <c r="I1120" i="2"/>
  <c r="J1120" i="2"/>
  <c r="K1120" i="2"/>
  <c r="I1121" i="2"/>
  <c r="J1121" i="2"/>
  <c r="K1121" i="2"/>
  <c r="I1122" i="2"/>
  <c r="J1122" i="2"/>
  <c r="K1122" i="2"/>
  <c r="I1123" i="2"/>
  <c r="J1123" i="2"/>
  <c r="K1123" i="2"/>
  <c r="I1124" i="2"/>
  <c r="J1124" i="2"/>
  <c r="K1124" i="2"/>
  <c r="I1125" i="2"/>
  <c r="J1125" i="2"/>
  <c r="K1125" i="2"/>
  <c r="I1126" i="2"/>
  <c r="J1126" i="2"/>
  <c r="K1126" i="2"/>
  <c r="I1127" i="2"/>
  <c r="J1127" i="2"/>
  <c r="K1127" i="2"/>
  <c r="I1128" i="2"/>
  <c r="J1128" i="2"/>
  <c r="K1128" i="2"/>
  <c r="I1129" i="2"/>
  <c r="J1129" i="2"/>
  <c r="K1129" i="2"/>
  <c r="I1130" i="2"/>
  <c r="J1130" i="2"/>
  <c r="K1130" i="2"/>
  <c r="I1131" i="2"/>
  <c r="J1131" i="2"/>
  <c r="K1131" i="2"/>
  <c r="I1132" i="2"/>
  <c r="J1132" i="2"/>
  <c r="K1132" i="2"/>
  <c r="I1133" i="2"/>
  <c r="J1133" i="2"/>
  <c r="K1133" i="2"/>
  <c r="I1134" i="2"/>
  <c r="J1134" i="2"/>
  <c r="K1134" i="2"/>
  <c r="I1135" i="2"/>
  <c r="J1135" i="2"/>
  <c r="K1135" i="2"/>
  <c r="I1136" i="2"/>
  <c r="J1136" i="2"/>
  <c r="K1136" i="2"/>
  <c r="I1137" i="2"/>
  <c r="J1137" i="2"/>
  <c r="K1137" i="2"/>
  <c r="I1138" i="2"/>
  <c r="J1138" i="2"/>
  <c r="K1138" i="2"/>
  <c r="I1139" i="2"/>
  <c r="J1139" i="2"/>
  <c r="K1139" i="2"/>
  <c r="I1140" i="2"/>
  <c r="J1140" i="2"/>
  <c r="K1140" i="2"/>
  <c r="I1141" i="2"/>
  <c r="J1141" i="2"/>
  <c r="K1141" i="2"/>
  <c r="I1142" i="2"/>
  <c r="J1142" i="2"/>
  <c r="K1142" i="2"/>
  <c r="I1143" i="2"/>
  <c r="J1143" i="2"/>
  <c r="K1143" i="2"/>
  <c r="I1144" i="2"/>
  <c r="J1144" i="2"/>
  <c r="K1144" i="2"/>
  <c r="I1145" i="2"/>
  <c r="J1145" i="2"/>
  <c r="K1145" i="2"/>
  <c r="I1146" i="2"/>
  <c r="J1146" i="2"/>
  <c r="K1146" i="2"/>
  <c r="I1147" i="2"/>
  <c r="J1147" i="2"/>
  <c r="K1147" i="2"/>
  <c r="I1148" i="2"/>
  <c r="J1148" i="2"/>
  <c r="K1148" i="2"/>
  <c r="I1149" i="2"/>
  <c r="J1149" i="2"/>
  <c r="K1149" i="2"/>
  <c r="I1150" i="2"/>
  <c r="J1150" i="2"/>
  <c r="K1150" i="2"/>
  <c r="I1151" i="2"/>
  <c r="J1151" i="2"/>
  <c r="K1151" i="2"/>
  <c r="I1152" i="2"/>
  <c r="J1152" i="2"/>
  <c r="K1152" i="2"/>
  <c r="I1153" i="2"/>
  <c r="J1153" i="2"/>
  <c r="K1153" i="2"/>
  <c r="I1154" i="2"/>
  <c r="J1154" i="2"/>
  <c r="K1154" i="2"/>
  <c r="I1155" i="2"/>
  <c r="J1155" i="2"/>
  <c r="K1155" i="2"/>
  <c r="I1156" i="2"/>
  <c r="J1156" i="2"/>
  <c r="K1156" i="2"/>
  <c r="I1157" i="2"/>
  <c r="J1157" i="2"/>
  <c r="K1157" i="2"/>
  <c r="I1158" i="2"/>
  <c r="J1158" i="2"/>
  <c r="K1158" i="2"/>
  <c r="I1159" i="2"/>
  <c r="J1159" i="2"/>
  <c r="K1159" i="2"/>
  <c r="I1160" i="2"/>
  <c r="J1160" i="2"/>
  <c r="K1160" i="2"/>
  <c r="I1161" i="2"/>
  <c r="J1161" i="2"/>
  <c r="K1161" i="2"/>
  <c r="I1162" i="2"/>
  <c r="J1162" i="2"/>
  <c r="K1162" i="2"/>
  <c r="I1163" i="2"/>
  <c r="J1163" i="2"/>
  <c r="K1163" i="2"/>
  <c r="I1164" i="2"/>
  <c r="J1164" i="2"/>
  <c r="K1164" i="2"/>
  <c r="I1165" i="2"/>
  <c r="J1165" i="2"/>
  <c r="K1165" i="2"/>
  <c r="I1166" i="2"/>
  <c r="J1166" i="2"/>
  <c r="K1166" i="2"/>
  <c r="I1167" i="2"/>
  <c r="J1167" i="2"/>
  <c r="K1167" i="2"/>
  <c r="I1168" i="2"/>
  <c r="J1168" i="2"/>
  <c r="K1168" i="2"/>
  <c r="I1169" i="2"/>
  <c r="J1169" i="2"/>
  <c r="K1169" i="2"/>
  <c r="I1170" i="2"/>
  <c r="J1170" i="2"/>
  <c r="K1170" i="2"/>
  <c r="I1171" i="2"/>
  <c r="J1171" i="2"/>
  <c r="K1171" i="2"/>
  <c r="I1172" i="2"/>
  <c r="J1172" i="2"/>
  <c r="K1172" i="2"/>
  <c r="I1173" i="2"/>
  <c r="J1173" i="2"/>
  <c r="K1173" i="2"/>
  <c r="I1174" i="2"/>
  <c r="J1174" i="2"/>
  <c r="K1174" i="2"/>
  <c r="I1175" i="2"/>
  <c r="J1175" i="2"/>
  <c r="K1175" i="2"/>
  <c r="I1176" i="2"/>
  <c r="J1176" i="2"/>
  <c r="K1176" i="2"/>
  <c r="I1177" i="2"/>
  <c r="J1177" i="2"/>
  <c r="K1177" i="2"/>
  <c r="I1178" i="2"/>
  <c r="J1178" i="2"/>
  <c r="K1178" i="2"/>
  <c r="I1179" i="2"/>
  <c r="J1179" i="2"/>
  <c r="K1179" i="2"/>
  <c r="I1180" i="2"/>
  <c r="J1180" i="2"/>
  <c r="K1180" i="2"/>
  <c r="I1181" i="2"/>
  <c r="J1181" i="2"/>
  <c r="K1181" i="2"/>
  <c r="I1182" i="2"/>
  <c r="J1182" i="2"/>
  <c r="K1182" i="2"/>
  <c r="I1183" i="2"/>
  <c r="J1183" i="2"/>
  <c r="K1183" i="2"/>
  <c r="I1184" i="2"/>
  <c r="J1184" i="2"/>
  <c r="K1184" i="2"/>
  <c r="I1185" i="2"/>
  <c r="J1185" i="2"/>
  <c r="K1185" i="2"/>
  <c r="I1186" i="2"/>
  <c r="J1186" i="2"/>
  <c r="K1186" i="2"/>
  <c r="I1187" i="2"/>
  <c r="J1187" i="2"/>
  <c r="K1187" i="2"/>
  <c r="I1188" i="2"/>
  <c r="J1188" i="2"/>
  <c r="K1188" i="2"/>
  <c r="I1189" i="2"/>
  <c r="J1189" i="2"/>
  <c r="K1189" i="2"/>
  <c r="I1190" i="2"/>
  <c r="J1190" i="2"/>
  <c r="K1190" i="2"/>
  <c r="I1191" i="2"/>
  <c r="J1191" i="2"/>
  <c r="K1191" i="2"/>
  <c r="I1192" i="2"/>
  <c r="J1192" i="2"/>
  <c r="K1192" i="2"/>
  <c r="I1193" i="2"/>
  <c r="J1193" i="2"/>
  <c r="K1193" i="2"/>
  <c r="I1194" i="2"/>
  <c r="J1194" i="2"/>
  <c r="K1194" i="2"/>
  <c r="I1195" i="2"/>
  <c r="J1195" i="2"/>
  <c r="K1195" i="2"/>
  <c r="I1196" i="2"/>
  <c r="J1196" i="2"/>
  <c r="K1196" i="2"/>
  <c r="I1197" i="2"/>
  <c r="J1197" i="2"/>
  <c r="K1197" i="2"/>
  <c r="I1198" i="2"/>
  <c r="J1198" i="2"/>
  <c r="K1198" i="2"/>
  <c r="I1199" i="2"/>
  <c r="J1199" i="2"/>
  <c r="K1199" i="2"/>
  <c r="I1200" i="2"/>
  <c r="J1200" i="2"/>
  <c r="K1200" i="2"/>
  <c r="I1201" i="2"/>
  <c r="J1201" i="2"/>
  <c r="K1201" i="2"/>
  <c r="I1202" i="2"/>
  <c r="J1202" i="2"/>
  <c r="K1202" i="2"/>
  <c r="I1203" i="2"/>
  <c r="J1203" i="2"/>
  <c r="K1203" i="2"/>
  <c r="I1204" i="2"/>
  <c r="J1204" i="2"/>
  <c r="K1204" i="2"/>
  <c r="I1205" i="2"/>
  <c r="J1205" i="2"/>
  <c r="K1205" i="2"/>
  <c r="I1206" i="2"/>
  <c r="J1206" i="2"/>
  <c r="K1206" i="2"/>
  <c r="I1207" i="2"/>
  <c r="J1207" i="2"/>
  <c r="K1207" i="2"/>
  <c r="I1208" i="2"/>
  <c r="J1208" i="2"/>
  <c r="K1208" i="2"/>
  <c r="I1209" i="2"/>
  <c r="J1209" i="2"/>
  <c r="K1209" i="2"/>
  <c r="I1210" i="2"/>
  <c r="J1210" i="2"/>
  <c r="K1210" i="2"/>
  <c r="I1211" i="2"/>
  <c r="J1211" i="2"/>
  <c r="K1211" i="2"/>
  <c r="I1212" i="2"/>
  <c r="J1212" i="2"/>
  <c r="K1212" i="2"/>
  <c r="I1213" i="2"/>
  <c r="J1213" i="2"/>
  <c r="K1213" i="2"/>
  <c r="I1214" i="2"/>
  <c r="J1214" i="2"/>
  <c r="K1214" i="2"/>
  <c r="I1215" i="2"/>
  <c r="J1215" i="2"/>
  <c r="K1215" i="2"/>
  <c r="I1216" i="2"/>
  <c r="J1216" i="2"/>
  <c r="K1216" i="2"/>
  <c r="I1217" i="2"/>
  <c r="J1217" i="2"/>
  <c r="K1217" i="2"/>
  <c r="I1218" i="2"/>
  <c r="J1218" i="2"/>
  <c r="K1218" i="2"/>
  <c r="I1219" i="2"/>
  <c r="J1219" i="2"/>
  <c r="K1219" i="2"/>
  <c r="I1220" i="2"/>
  <c r="J1220" i="2"/>
  <c r="K1220" i="2"/>
  <c r="I1221" i="2"/>
  <c r="J1221" i="2"/>
  <c r="K1221" i="2"/>
  <c r="I1222" i="2"/>
  <c r="J1222" i="2"/>
  <c r="K1222" i="2"/>
  <c r="I1223" i="2"/>
  <c r="J1223" i="2"/>
  <c r="K1223" i="2"/>
  <c r="I1224" i="2"/>
  <c r="J1224" i="2"/>
  <c r="K1224" i="2"/>
  <c r="I1225" i="2"/>
  <c r="J1225" i="2"/>
  <c r="K1225" i="2"/>
  <c r="I1226" i="2"/>
  <c r="J1226" i="2"/>
  <c r="K1226" i="2"/>
  <c r="I1227" i="2"/>
  <c r="J1227" i="2"/>
  <c r="K1227" i="2"/>
  <c r="I1228" i="2"/>
  <c r="J1228" i="2"/>
  <c r="K1228" i="2"/>
  <c r="I1229" i="2"/>
  <c r="J1229" i="2"/>
  <c r="K1229" i="2"/>
  <c r="I1230" i="2"/>
  <c r="J1230" i="2"/>
  <c r="K1230" i="2"/>
  <c r="I1231" i="2"/>
  <c r="J1231" i="2"/>
  <c r="K1231" i="2"/>
  <c r="I1232" i="2"/>
  <c r="J1232" i="2"/>
  <c r="K1232" i="2"/>
  <c r="I1233" i="2"/>
  <c r="J1233" i="2"/>
  <c r="K1233" i="2"/>
  <c r="I1234" i="2"/>
  <c r="J1234" i="2"/>
  <c r="K1234" i="2"/>
  <c r="I1235" i="2"/>
  <c r="J1235" i="2"/>
  <c r="K1235" i="2"/>
  <c r="I1236" i="2"/>
  <c r="J1236" i="2"/>
  <c r="K1236" i="2"/>
  <c r="I1237" i="2"/>
  <c r="J1237" i="2"/>
  <c r="K1237" i="2"/>
  <c r="I1238" i="2"/>
  <c r="J1238" i="2"/>
  <c r="K1238" i="2"/>
  <c r="I1239" i="2"/>
  <c r="J1239" i="2"/>
  <c r="K1239" i="2"/>
  <c r="I1240" i="2"/>
  <c r="J1240" i="2"/>
  <c r="K1240" i="2"/>
  <c r="I1241" i="2"/>
  <c r="J1241" i="2"/>
  <c r="K1241" i="2"/>
  <c r="I1242" i="2"/>
  <c r="J1242" i="2"/>
  <c r="K1242" i="2"/>
  <c r="I1243" i="2"/>
  <c r="J1243" i="2"/>
  <c r="K1243" i="2"/>
  <c r="I1244" i="2"/>
  <c r="J1244" i="2"/>
  <c r="K1244" i="2"/>
  <c r="I1245" i="2"/>
  <c r="J1245" i="2"/>
  <c r="K1245" i="2"/>
  <c r="I1246" i="2"/>
  <c r="J1246" i="2"/>
  <c r="K1246" i="2"/>
  <c r="I1247" i="2"/>
  <c r="J1247" i="2"/>
  <c r="K1247" i="2"/>
  <c r="I1248" i="2"/>
  <c r="J1248" i="2"/>
  <c r="K1248" i="2"/>
  <c r="I1249" i="2"/>
  <c r="J1249" i="2"/>
  <c r="K1249" i="2"/>
  <c r="I1250" i="2"/>
  <c r="J1250" i="2"/>
  <c r="K1250" i="2"/>
  <c r="I1251" i="2"/>
  <c r="J1251" i="2"/>
  <c r="K1251" i="2"/>
  <c r="I1252" i="2"/>
  <c r="J1252" i="2"/>
  <c r="K1252" i="2"/>
  <c r="I1253" i="2"/>
  <c r="J1253" i="2"/>
  <c r="K1253" i="2"/>
  <c r="I1254" i="2"/>
  <c r="J1254" i="2"/>
  <c r="K1254" i="2"/>
  <c r="I1255" i="2"/>
  <c r="J1255" i="2"/>
  <c r="K1255" i="2"/>
  <c r="I1256" i="2"/>
  <c r="J1256" i="2"/>
  <c r="K1256" i="2"/>
  <c r="I1257" i="2"/>
  <c r="J1257" i="2"/>
  <c r="K1257" i="2"/>
  <c r="I1258" i="2"/>
  <c r="J1258" i="2"/>
  <c r="K1258" i="2"/>
  <c r="I1259" i="2"/>
  <c r="J1259" i="2"/>
  <c r="K1259" i="2"/>
  <c r="I1260" i="2"/>
  <c r="J1260" i="2"/>
  <c r="K1260" i="2"/>
  <c r="I1261" i="2"/>
  <c r="J1261" i="2"/>
  <c r="K1261" i="2"/>
  <c r="I1262" i="2"/>
  <c r="J1262" i="2"/>
  <c r="K1262" i="2"/>
  <c r="I1263" i="2"/>
  <c r="J1263" i="2"/>
  <c r="K1263" i="2"/>
  <c r="I1264" i="2"/>
  <c r="J1264" i="2"/>
  <c r="K1264" i="2"/>
  <c r="I1265" i="2"/>
  <c r="J1265" i="2"/>
  <c r="K1265" i="2"/>
  <c r="I1266" i="2"/>
  <c r="J1266" i="2"/>
  <c r="K1266" i="2"/>
  <c r="I1267" i="2"/>
  <c r="J1267" i="2"/>
  <c r="K1267" i="2"/>
  <c r="I1268" i="2"/>
  <c r="J1268" i="2"/>
  <c r="K1268" i="2"/>
  <c r="I1270" i="2"/>
  <c r="J1270" i="2"/>
  <c r="N16" i="2" s="1" a="1"/>
  <c r="N16" i="2" s="1"/>
  <c r="K1270" i="2"/>
  <c r="I1271" i="2"/>
  <c r="J1271" i="2"/>
  <c r="K1271" i="2"/>
  <c r="I1272" i="2"/>
  <c r="J1272" i="2"/>
  <c r="K1272" i="2"/>
  <c r="I1273" i="2"/>
  <c r="J1273" i="2"/>
  <c r="K1273" i="2"/>
  <c r="I1274" i="2"/>
  <c r="J1274" i="2"/>
  <c r="K1274" i="2"/>
  <c r="I1275" i="2"/>
  <c r="J1275" i="2"/>
  <c r="K1275" i="2"/>
  <c r="I1276" i="2"/>
  <c r="J1276" i="2"/>
  <c r="K1276" i="2"/>
  <c r="I1277" i="2"/>
  <c r="J1277" i="2"/>
  <c r="K1277" i="2"/>
  <c r="I1278" i="2"/>
  <c r="J1278" i="2"/>
  <c r="K1278" i="2"/>
  <c r="I1279" i="2"/>
  <c r="J1279" i="2"/>
  <c r="K1279" i="2"/>
  <c r="I1280" i="2"/>
  <c r="J1280" i="2"/>
  <c r="K1280" i="2"/>
  <c r="I1281" i="2"/>
  <c r="J1281" i="2"/>
  <c r="K1281" i="2"/>
  <c r="I1282" i="2"/>
  <c r="J1282" i="2"/>
  <c r="K1282" i="2"/>
  <c r="I1283" i="2"/>
  <c r="J1283" i="2"/>
  <c r="K1283" i="2"/>
  <c r="I1284" i="2"/>
  <c r="J1284" i="2"/>
  <c r="K1284" i="2"/>
  <c r="I1285" i="2"/>
  <c r="J1285" i="2"/>
  <c r="K1285" i="2"/>
  <c r="I1286" i="2"/>
  <c r="J1286" i="2"/>
  <c r="K1286" i="2"/>
  <c r="I1287" i="2"/>
  <c r="J1287" i="2"/>
  <c r="K1287" i="2"/>
  <c r="I1288" i="2"/>
  <c r="J1288" i="2"/>
  <c r="K1288" i="2"/>
  <c r="I1289" i="2"/>
  <c r="J1289" i="2"/>
  <c r="K1289" i="2"/>
  <c r="I1290" i="2"/>
  <c r="J1290" i="2"/>
  <c r="K1290" i="2"/>
  <c r="I1291" i="2"/>
  <c r="J1291" i="2"/>
  <c r="K1291" i="2"/>
  <c r="I1292" i="2"/>
  <c r="J1292" i="2"/>
  <c r="K1292" i="2"/>
  <c r="I1293" i="2"/>
  <c r="J1293" i="2"/>
  <c r="K1293" i="2"/>
  <c r="I1294" i="2"/>
  <c r="J1294" i="2"/>
  <c r="K1294" i="2"/>
  <c r="I1295" i="2"/>
  <c r="J1295" i="2"/>
  <c r="K1295" i="2"/>
  <c r="I1296" i="2"/>
  <c r="J1296" i="2"/>
  <c r="K1296" i="2"/>
  <c r="I1297" i="2"/>
  <c r="J1297" i="2"/>
  <c r="K1297" i="2"/>
  <c r="I1298" i="2"/>
  <c r="J1298" i="2"/>
  <c r="K1298" i="2"/>
  <c r="I1299" i="2"/>
  <c r="J1299" i="2"/>
  <c r="K1299" i="2"/>
  <c r="I1300" i="2"/>
  <c r="J1300" i="2"/>
  <c r="K1300" i="2"/>
  <c r="I1301" i="2"/>
  <c r="J1301" i="2"/>
  <c r="K1301" i="2"/>
  <c r="I1302" i="2"/>
  <c r="J1302" i="2"/>
  <c r="K1302" i="2"/>
  <c r="I1303" i="2"/>
  <c r="J1303" i="2"/>
  <c r="K1303" i="2"/>
  <c r="I1304" i="2"/>
  <c r="J1304" i="2"/>
  <c r="K1304" i="2"/>
  <c r="I1305" i="2"/>
  <c r="J1305" i="2"/>
  <c r="K1305" i="2"/>
  <c r="I1306" i="2"/>
  <c r="J1306" i="2"/>
  <c r="K1306" i="2"/>
  <c r="I1307" i="2"/>
  <c r="J1307" i="2"/>
  <c r="K1307" i="2"/>
  <c r="I1308" i="2"/>
  <c r="J1308" i="2"/>
  <c r="K1308" i="2"/>
  <c r="I1309" i="2"/>
  <c r="J1309" i="2"/>
  <c r="K1309" i="2"/>
  <c r="I1310" i="2"/>
  <c r="J1310" i="2"/>
  <c r="K1310" i="2"/>
  <c r="I1311" i="2"/>
  <c r="J1311" i="2"/>
  <c r="K1311" i="2"/>
  <c r="I1312" i="2"/>
  <c r="J1312" i="2"/>
  <c r="K1312" i="2"/>
  <c r="I1313" i="2"/>
  <c r="J1313" i="2"/>
  <c r="K1313" i="2"/>
  <c r="I1314" i="2"/>
  <c r="J1314" i="2"/>
  <c r="K1314" i="2"/>
  <c r="I1315" i="2"/>
  <c r="J1315" i="2"/>
  <c r="K1315" i="2"/>
  <c r="I1316" i="2"/>
  <c r="J1316" i="2"/>
  <c r="K1316" i="2"/>
  <c r="I1317" i="2"/>
  <c r="J1317" i="2"/>
  <c r="K1317" i="2"/>
  <c r="I1318" i="2"/>
  <c r="J1318" i="2"/>
  <c r="K1318" i="2"/>
  <c r="I1319" i="2"/>
  <c r="J1319" i="2"/>
  <c r="K1319" i="2"/>
  <c r="I1320" i="2"/>
  <c r="J1320" i="2"/>
  <c r="K1320" i="2"/>
  <c r="I1321" i="2"/>
  <c r="J1321" i="2"/>
  <c r="K1321" i="2"/>
  <c r="I1322" i="2"/>
  <c r="J1322" i="2"/>
  <c r="K1322" i="2"/>
  <c r="I1323" i="2"/>
  <c r="J1323" i="2"/>
  <c r="K1323" i="2"/>
  <c r="I1324" i="2"/>
  <c r="J1324" i="2"/>
  <c r="K1324" i="2"/>
  <c r="I1325" i="2"/>
  <c r="J1325" i="2"/>
  <c r="K1325" i="2"/>
  <c r="I1326" i="2"/>
  <c r="J1326" i="2"/>
  <c r="K1326" i="2"/>
  <c r="I1327" i="2"/>
  <c r="J1327" i="2"/>
  <c r="K1327" i="2"/>
  <c r="I1328" i="2"/>
  <c r="J1328" i="2"/>
  <c r="K1328" i="2"/>
  <c r="I1329" i="2"/>
  <c r="J1329" i="2"/>
  <c r="K1329" i="2"/>
  <c r="I1330" i="2"/>
  <c r="J1330" i="2"/>
  <c r="K1330" i="2"/>
  <c r="I1331" i="2"/>
  <c r="J1331" i="2"/>
  <c r="K1331" i="2"/>
  <c r="I1332" i="2"/>
  <c r="J1332" i="2"/>
  <c r="K1332" i="2"/>
  <c r="I1333" i="2"/>
  <c r="J1333" i="2"/>
  <c r="K1333" i="2"/>
  <c r="I1334" i="2"/>
  <c r="J1334" i="2"/>
  <c r="K1334" i="2"/>
  <c r="I1335" i="2"/>
  <c r="J1335" i="2"/>
  <c r="K1335" i="2"/>
  <c r="I1336" i="2"/>
  <c r="J1336" i="2"/>
  <c r="K1336" i="2"/>
  <c r="I1337" i="2"/>
  <c r="J1337" i="2"/>
  <c r="K1337" i="2"/>
  <c r="I1338" i="2"/>
  <c r="J1338" i="2"/>
  <c r="K1338" i="2"/>
  <c r="I1339" i="2"/>
  <c r="J1339" i="2"/>
  <c r="K1339" i="2"/>
  <c r="I1340" i="2"/>
  <c r="J1340" i="2"/>
  <c r="K1340" i="2"/>
  <c r="I1341" i="2"/>
  <c r="J1341" i="2"/>
  <c r="K1341" i="2"/>
  <c r="I1342" i="2"/>
  <c r="J1342" i="2"/>
  <c r="K1342" i="2"/>
  <c r="I1343" i="2"/>
  <c r="J1343" i="2"/>
  <c r="K1343" i="2"/>
  <c r="I1344" i="2"/>
  <c r="J1344" i="2"/>
  <c r="K1344" i="2"/>
  <c r="I1345" i="2"/>
  <c r="J1345" i="2"/>
  <c r="K1345" i="2"/>
  <c r="I1346" i="2"/>
  <c r="J1346" i="2"/>
  <c r="K1346" i="2"/>
  <c r="I1347" i="2"/>
  <c r="J1347" i="2"/>
  <c r="K1347" i="2"/>
  <c r="I1348" i="2"/>
  <c r="J1348" i="2"/>
  <c r="K1348" i="2"/>
  <c r="I1349" i="2"/>
  <c r="J1349" i="2"/>
  <c r="K1349" i="2"/>
  <c r="I1350" i="2"/>
  <c r="J1350" i="2"/>
  <c r="K1350" i="2"/>
  <c r="I1351" i="2"/>
  <c r="J1351" i="2"/>
  <c r="K1351" i="2"/>
  <c r="I1352" i="2"/>
  <c r="J1352" i="2"/>
  <c r="K1352" i="2"/>
  <c r="I1353" i="2"/>
  <c r="J1353" i="2"/>
  <c r="K1353" i="2"/>
  <c r="I1354" i="2"/>
  <c r="J1354" i="2"/>
  <c r="K1354" i="2"/>
  <c r="I1355" i="2"/>
  <c r="J1355" i="2"/>
  <c r="K1355" i="2"/>
  <c r="I1356" i="2"/>
  <c r="J1356" i="2"/>
  <c r="K1356" i="2"/>
  <c r="I1357" i="2"/>
  <c r="J1357" i="2"/>
  <c r="K1357" i="2"/>
  <c r="I1358" i="2"/>
  <c r="J1358" i="2"/>
  <c r="K1358" i="2"/>
  <c r="I1359" i="2"/>
  <c r="J1359" i="2"/>
  <c r="K1359" i="2"/>
  <c r="I1360" i="2"/>
  <c r="J1360" i="2"/>
  <c r="K1360" i="2"/>
  <c r="I1361" i="2"/>
  <c r="J1361" i="2"/>
  <c r="K1361" i="2"/>
  <c r="I1362" i="2"/>
  <c r="J1362" i="2"/>
  <c r="K1362" i="2"/>
  <c r="I1363" i="2"/>
  <c r="J1363" i="2"/>
  <c r="K1363" i="2"/>
  <c r="I1364" i="2"/>
  <c r="J1364" i="2"/>
  <c r="K1364" i="2"/>
  <c r="I1365" i="2"/>
  <c r="J1365" i="2"/>
  <c r="K1365" i="2"/>
  <c r="I1366" i="2"/>
  <c r="J1366" i="2"/>
  <c r="K1366" i="2"/>
  <c r="I1367" i="2"/>
  <c r="J1367" i="2"/>
  <c r="K1367" i="2"/>
  <c r="I1368" i="2"/>
  <c r="J1368" i="2"/>
  <c r="K1368" i="2"/>
  <c r="I1369" i="2"/>
  <c r="J1369" i="2"/>
  <c r="K1369" i="2"/>
  <c r="I1370" i="2"/>
  <c r="J1370" i="2"/>
  <c r="K1370" i="2"/>
  <c r="I1371" i="2"/>
  <c r="J1371" i="2"/>
  <c r="K1371" i="2"/>
  <c r="I1372" i="2"/>
  <c r="J1372" i="2"/>
  <c r="K1372" i="2"/>
  <c r="I1373" i="2"/>
  <c r="J1373" i="2"/>
  <c r="K1373" i="2"/>
  <c r="I1374" i="2"/>
  <c r="J1374" i="2"/>
  <c r="K1374" i="2"/>
  <c r="I1375" i="2"/>
  <c r="J1375" i="2"/>
  <c r="K1375" i="2"/>
  <c r="I1376" i="2"/>
  <c r="J1376" i="2"/>
  <c r="K1376" i="2"/>
  <c r="I1377" i="2"/>
  <c r="J1377" i="2"/>
  <c r="K1377" i="2"/>
  <c r="I1378" i="2"/>
  <c r="J1378" i="2"/>
  <c r="K1378" i="2"/>
  <c r="I1379" i="2"/>
  <c r="J1379" i="2"/>
  <c r="K1379" i="2"/>
  <c r="I1380" i="2"/>
  <c r="J1380" i="2"/>
  <c r="K1380" i="2"/>
  <c r="I1381" i="2"/>
  <c r="J1381" i="2"/>
  <c r="K1381" i="2"/>
  <c r="I1382" i="2"/>
  <c r="J1382" i="2"/>
  <c r="K1382" i="2"/>
  <c r="I1383" i="2"/>
  <c r="J1383" i="2"/>
  <c r="K1383" i="2"/>
  <c r="I1384" i="2"/>
  <c r="J1384" i="2"/>
  <c r="K1384" i="2"/>
  <c r="I1385" i="2"/>
  <c r="J1385" i="2"/>
  <c r="K1385" i="2"/>
  <c r="I1386" i="2"/>
  <c r="J1386" i="2"/>
  <c r="K1386" i="2"/>
  <c r="I1387" i="2"/>
  <c r="J1387" i="2"/>
  <c r="K1387" i="2"/>
  <c r="I1388" i="2"/>
  <c r="J1388" i="2"/>
  <c r="K1388" i="2"/>
  <c r="I1389" i="2"/>
  <c r="J1389" i="2"/>
  <c r="K1389" i="2"/>
  <c r="I1390" i="2"/>
  <c r="J1390" i="2"/>
  <c r="K1390" i="2"/>
  <c r="I1391" i="2"/>
  <c r="J1391" i="2"/>
  <c r="K1391" i="2"/>
  <c r="I1392" i="2"/>
  <c r="J1392" i="2"/>
  <c r="K1392" i="2"/>
  <c r="I1393" i="2"/>
  <c r="J1393" i="2"/>
  <c r="K1393" i="2"/>
  <c r="I1394" i="2"/>
  <c r="J1394" i="2"/>
  <c r="K1394" i="2"/>
  <c r="I1395" i="2"/>
  <c r="J1395" i="2"/>
  <c r="K1395" i="2"/>
  <c r="I1396" i="2"/>
  <c r="J1396" i="2"/>
  <c r="K1396" i="2"/>
  <c r="I1397" i="2"/>
  <c r="J1397" i="2"/>
  <c r="K1397" i="2"/>
  <c r="I1398" i="2"/>
  <c r="J1398" i="2"/>
  <c r="K1398" i="2"/>
  <c r="I1399" i="2"/>
  <c r="J1399" i="2"/>
  <c r="K1399" i="2"/>
  <c r="I1400" i="2"/>
  <c r="J1400" i="2"/>
  <c r="K1400" i="2"/>
  <c r="I1401" i="2"/>
  <c r="J1401" i="2"/>
  <c r="K1401" i="2"/>
  <c r="I1402" i="2"/>
  <c r="J1402" i="2"/>
  <c r="K1402" i="2"/>
  <c r="I1403" i="2"/>
  <c r="J1403" i="2"/>
  <c r="K1403" i="2"/>
  <c r="I1404" i="2"/>
  <c r="J1404" i="2"/>
  <c r="K1404" i="2"/>
  <c r="I1405" i="2"/>
  <c r="J1405" i="2"/>
  <c r="K1405" i="2"/>
  <c r="I1406" i="2"/>
  <c r="J1406" i="2"/>
  <c r="K1406" i="2"/>
  <c r="I1407" i="2"/>
  <c r="J1407" i="2"/>
  <c r="K1407" i="2"/>
  <c r="I1408" i="2"/>
  <c r="J1408" i="2"/>
  <c r="K1408" i="2"/>
  <c r="I1409" i="2"/>
  <c r="J1409" i="2"/>
  <c r="K1409" i="2"/>
  <c r="I1410" i="2"/>
  <c r="J1410" i="2"/>
  <c r="K1410" i="2"/>
  <c r="I1411" i="2"/>
  <c r="J1411" i="2"/>
  <c r="K1411" i="2"/>
  <c r="I1412" i="2"/>
  <c r="J1412" i="2"/>
  <c r="K1412" i="2"/>
  <c r="I1413" i="2"/>
  <c r="J1413" i="2"/>
  <c r="K1413" i="2"/>
  <c r="I1414" i="2"/>
  <c r="J1414" i="2"/>
  <c r="K1414" i="2"/>
  <c r="I1415" i="2"/>
  <c r="J1415" i="2"/>
  <c r="K1415" i="2"/>
  <c r="I1416" i="2"/>
  <c r="J1416" i="2"/>
  <c r="K1416" i="2"/>
  <c r="I1417" i="2"/>
  <c r="J1417" i="2"/>
  <c r="K1417" i="2"/>
  <c r="I1418" i="2"/>
  <c r="J1418" i="2"/>
  <c r="K1418" i="2"/>
  <c r="I1419" i="2"/>
  <c r="J1419" i="2"/>
  <c r="K1419" i="2"/>
  <c r="I1420" i="2"/>
  <c r="J1420" i="2"/>
  <c r="K1420" i="2"/>
  <c r="I1421" i="2"/>
  <c r="J1421" i="2"/>
  <c r="K1421" i="2"/>
  <c r="I1422" i="2"/>
  <c r="J1422" i="2"/>
  <c r="K1422" i="2"/>
  <c r="I1423" i="2"/>
  <c r="J1423" i="2"/>
  <c r="K1423" i="2"/>
  <c r="I1424" i="2"/>
  <c r="J1424" i="2"/>
  <c r="K1424" i="2"/>
  <c r="I1425" i="2"/>
  <c r="J1425" i="2"/>
  <c r="K1425" i="2"/>
  <c r="I1426" i="2"/>
  <c r="J1426" i="2"/>
  <c r="K1426" i="2"/>
  <c r="I1427" i="2"/>
  <c r="J1427" i="2"/>
  <c r="K1427" i="2"/>
  <c r="I1428" i="2"/>
  <c r="J1428" i="2"/>
  <c r="K1428" i="2"/>
  <c r="I1429" i="2"/>
  <c r="J1429" i="2"/>
  <c r="K1429" i="2"/>
  <c r="I1430" i="2"/>
  <c r="J1430" i="2"/>
  <c r="K1430" i="2"/>
  <c r="I1431" i="2"/>
  <c r="J1431" i="2"/>
  <c r="K1431" i="2"/>
  <c r="I1432" i="2"/>
  <c r="J1432" i="2"/>
  <c r="K1432" i="2"/>
  <c r="I1433" i="2"/>
  <c r="J1433" i="2"/>
  <c r="K1433" i="2"/>
  <c r="I1434" i="2"/>
  <c r="J1434" i="2"/>
  <c r="K1434" i="2"/>
  <c r="I1435" i="2"/>
  <c r="J1435" i="2"/>
  <c r="K1435" i="2"/>
  <c r="I1436" i="2"/>
  <c r="J1436" i="2"/>
  <c r="K1436" i="2"/>
  <c r="I1437" i="2"/>
  <c r="J1437" i="2"/>
  <c r="K1437" i="2"/>
  <c r="I1438" i="2"/>
  <c r="J1438" i="2"/>
  <c r="K1438" i="2"/>
  <c r="I1439" i="2"/>
  <c r="J1439" i="2"/>
  <c r="K1439" i="2"/>
  <c r="I1440" i="2"/>
  <c r="J1440" i="2"/>
  <c r="K1440" i="2"/>
  <c r="I1441" i="2"/>
  <c r="J1441" i="2"/>
  <c r="K1441" i="2"/>
  <c r="I1442" i="2"/>
  <c r="J1442" i="2"/>
  <c r="K1442" i="2"/>
  <c r="I1443" i="2"/>
  <c r="J1443" i="2"/>
  <c r="K1443" i="2"/>
  <c r="I1444" i="2"/>
  <c r="J1444" i="2"/>
  <c r="K1444" i="2"/>
  <c r="I1445" i="2"/>
  <c r="J1445" i="2"/>
  <c r="K1445" i="2"/>
  <c r="I1446" i="2"/>
  <c r="J1446" i="2"/>
  <c r="K1446" i="2"/>
  <c r="I1447" i="2"/>
  <c r="J1447" i="2"/>
  <c r="K1447" i="2"/>
  <c r="I1448" i="2"/>
  <c r="J1448" i="2"/>
  <c r="K1448" i="2"/>
  <c r="I1449" i="2"/>
  <c r="J1449" i="2"/>
  <c r="K1449" i="2"/>
  <c r="K184" i="2"/>
  <c r="J184" i="2"/>
  <c r="N9" i="2" s="1" a="1"/>
  <c r="N9" i="2" s="1"/>
  <c r="I18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3" i="2"/>
  <c r="N8" i="2" s="1" a="1"/>
  <c r="P8" i="2" s="1"/>
  <c r="I8" i="2"/>
  <c r="K8" i="2"/>
  <c r="I9" i="2"/>
  <c r="K9" i="2"/>
  <c r="I10" i="2"/>
  <c r="K10" i="2"/>
  <c r="I11" i="2"/>
  <c r="K11" i="2"/>
  <c r="I12" i="2"/>
  <c r="K12" i="2"/>
  <c r="I13" i="2"/>
  <c r="K13" i="2"/>
  <c r="I14" i="2"/>
  <c r="K14" i="2"/>
  <c r="I15" i="2"/>
  <c r="K15" i="2"/>
  <c r="I16" i="2"/>
  <c r="K16" i="2"/>
  <c r="I17" i="2"/>
  <c r="K17" i="2"/>
  <c r="I18" i="2"/>
  <c r="K18" i="2"/>
  <c r="I19" i="2"/>
  <c r="K19" i="2"/>
  <c r="I20" i="2"/>
  <c r="K20" i="2"/>
  <c r="I21" i="2"/>
  <c r="K21" i="2"/>
  <c r="I22" i="2"/>
  <c r="K22" i="2"/>
  <c r="I23" i="2"/>
  <c r="K23" i="2"/>
  <c r="I24" i="2"/>
  <c r="K24" i="2"/>
  <c r="I25" i="2"/>
  <c r="K25" i="2"/>
  <c r="I26" i="2"/>
  <c r="K26" i="2"/>
  <c r="I27" i="2"/>
  <c r="K27" i="2"/>
  <c r="I28" i="2"/>
  <c r="K28" i="2"/>
  <c r="I29" i="2"/>
  <c r="K29" i="2"/>
  <c r="I30" i="2"/>
  <c r="K30" i="2"/>
  <c r="I31" i="2"/>
  <c r="K31" i="2"/>
  <c r="I32" i="2"/>
  <c r="K32" i="2"/>
  <c r="I33" i="2"/>
  <c r="K33" i="2"/>
  <c r="I34" i="2"/>
  <c r="K34" i="2"/>
  <c r="I35" i="2"/>
  <c r="K35" i="2"/>
  <c r="I36" i="2"/>
  <c r="K36" i="2"/>
  <c r="I37" i="2"/>
  <c r="K37" i="2"/>
  <c r="I38" i="2"/>
  <c r="K38" i="2"/>
  <c r="I39" i="2"/>
  <c r="K39" i="2"/>
  <c r="I40" i="2"/>
  <c r="K40" i="2"/>
  <c r="I41" i="2"/>
  <c r="K41" i="2"/>
  <c r="I42" i="2"/>
  <c r="K42" i="2"/>
  <c r="I43" i="2"/>
  <c r="K43" i="2"/>
  <c r="I44" i="2"/>
  <c r="K44" i="2"/>
  <c r="I45" i="2"/>
  <c r="K45" i="2"/>
  <c r="I46" i="2"/>
  <c r="K46" i="2"/>
  <c r="I47" i="2"/>
  <c r="K47" i="2"/>
  <c r="I48" i="2"/>
  <c r="K48" i="2"/>
  <c r="I49" i="2"/>
  <c r="K49" i="2"/>
  <c r="I50" i="2"/>
  <c r="K50" i="2"/>
  <c r="I51" i="2"/>
  <c r="K51" i="2"/>
  <c r="I52" i="2"/>
  <c r="K52" i="2"/>
  <c r="I53" i="2"/>
  <c r="K53" i="2"/>
  <c r="I54" i="2"/>
  <c r="K54" i="2"/>
  <c r="I55" i="2"/>
  <c r="K55" i="2"/>
  <c r="I56" i="2"/>
  <c r="K56" i="2"/>
  <c r="I57" i="2"/>
  <c r="K57" i="2"/>
  <c r="I58" i="2"/>
  <c r="K58" i="2"/>
  <c r="I59" i="2"/>
  <c r="K59" i="2"/>
  <c r="I60" i="2"/>
  <c r="K60" i="2"/>
  <c r="I61" i="2"/>
  <c r="K61" i="2"/>
  <c r="I62" i="2"/>
  <c r="K62" i="2"/>
  <c r="I63" i="2"/>
  <c r="K63" i="2"/>
  <c r="I64" i="2"/>
  <c r="K64" i="2"/>
  <c r="I65" i="2"/>
  <c r="K65" i="2"/>
  <c r="I66" i="2"/>
  <c r="K66" i="2"/>
  <c r="I67" i="2"/>
  <c r="K67" i="2"/>
  <c r="I68" i="2"/>
  <c r="K68" i="2"/>
  <c r="I69" i="2"/>
  <c r="K69" i="2"/>
  <c r="I70" i="2"/>
  <c r="K70" i="2"/>
  <c r="I71" i="2"/>
  <c r="K71" i="2"/>
  <c r="I72" i="2"/>
  <c r="K72" i="2"/>
  <c r="I73" i="2"/>
  <c r="K73" i="2"/>
  <c r="I74" i="2"/>
  <c r="K74" i="2"/>
  <c r="I75" i="2"/>
  <c r="K75" i="2"/>
  <c r="I76" i="2"/>
  <c r="K76" i="2"/>
  <c r="I77" i="2"/>
  <c r="K77" i="2"/>
  <c r="I78" i="2"/>
  <c r="K78" i="2"/>
  <c r="I79" i="2"/>
  <c r="K79" i="2"/>
  <c r="I80" i="2"/>
  <c r="K80" i="2"/>
  <c r="I81" i="2"/>
  <c r="K81" i="2"/>
  <c r="I82" i="2"/>
  <c r="K82" i="2"/>
  <c r="I83" i="2"/>
  <c r="K83" i="2"/>
  <c r="I84" i="2"/>
  <c r="K84" i="2"/>
  <c r="I85" i="2"/>
  <c r="K85" i="2"/>
  <c r="I86" i="2"/>
  <c r="K86" i="2"/>
  <c r="I87" i="2"/>
  <c r="K87" i="2"/>
  <c r="I88" i="2"/>
  <c r="K88" i="2"/>
  <c r="I89" i="2"/>
  <c r="K89" i="2"/>
  <c r="I90" i="2"/>
  <c r="K90" i="2"/>
  <c r="I91" i="2"/>
  <c r="K91" i="2"/>
  <c r="I92" i="2"/>
  <c r="K92" i="2"/>
  <c r="I93" i="2"/>
  <c r="K93" i="2"/>
  <c r="I94" i="2"/>
  <c r="K94" i="2"/>
  <c r="I95" i="2"/>
  <c r="K95" i="2"/>
  <c r="I96" i="2"/>
  <c r="K96" i="2"/>
  <c r="I97" i="2"/>
  <c r="K97" i="2"/>
  <c r="I98" i="2"/>
  <c r="K98" i="2"/>
  <c r="I99" i="2"/>
  <c r="K99" i="2"/>
  <c r="I100" i="2"/>
  <c r="K100" i="2"/>
  <c r="I101" i="2"/>
  <c r="K101" i="2"/>
  <c r="I102" i="2"/>
  <c r="K102" i="2"/>
  <c r="I103" i="2"/>
  <c r="K103" i="2"/>
  <c r="I104" i="2"/>
  <c r="K104" i="2"/>
  <c r="I105" i="2"/>
  <c r="K105" i="2"/>
  <c r="I106" i="2"/>
  <c r="K106" i="2"/>
  <c r="I107" i="2"/>
  <c r="K107" i="2"/>
  <c r="I108" i="2"/>
  <c r="K108" i="2"/>
  <c r="I109" i="2"/>
  <c r="K109" i="2"/>
  <c r="I110" i="2"/>
  <c r="K110" i="2"/>
  <c r="I111" i="2"/>
  <c r="K111" i="2"/>
  <c r="I112" i="2"/>
  <c r="K112" i="2"/>
  <c r="I113" i="2"/>
  <c r="K113" i="2"/>
  <c r="I114" i="2"/>
  <c r="K114" i="2"/>
  <c r="I115" i="2"/>
  <c r="K115" i="2"/>
  <c r="I116" i="2"/>
  <c r="K116" i="2"/>
  <c r="I117" i="2"/>
  <c r="K117" i="2"/>
  <c r="I118" i="2"/>
  <c r="K118" i="2"/>
  <c r="I119" i="2"/>
  <c r="K119" i="2"/>
  <c r="I120" i="2"/>
  <c r="K120" i="2"/>
  <c r="I121" i="2"/>
  <c r="K121" i="2"/>
  <c r="I122" i="2"/>
  <c r="K122" i="2"/>
  <c r="I123" i="2"/>
  <c r="K123" i="2"/>
  <c r="I124" i="2"/>
  <c r="K124" i="2"/>
  <c r="I125" i="2"/>
  <c r="K125" i="2"/>
  <c r="I126" i="2"/>
  <c r="K126" i="2"/>
  <c r="I127" i="2"/>
  <c r="K127" i="2"/>
  <c r="I128" i="2"/>
  <c r="K128" i="2"/>
  <c r="I129" i="2"/>
  <c r="K129" i="2"/>
  <c r="I130" i="2"/>
  <c r="K130" i="2"/>
  <c r="I131" i="2"/>
  <c r="K131" i="2"/>
  <c r="I132" i="2"/>
  <c r="K132" i="2"/>
  <c r="I133" i="2"/>
  <c r="K133" i="2"/>
  <c r="I134" i="2"/>
  <c r="K134" i="2"/>
  <c r="I135" i="2"/>
  <c r="K135" i="2"/>
  <c r="I136" i="2"/>
  <c r="K136" i="2"/>
  <c r="I137" i="2"/>
  <c r="K137" i="2"/>
  <c r="I138" i="2"/>
  <c r="K138" i="2"/>
  <c r="I139" i="2"/>
  <c r="K139" i="2"/>
  <c r="I140" i="2"/>
  <c r="K140" i="2"/>
  <c r="I141" i="2"/>
  <c r="K141" i="2"/>
  <c r="I142" i="2"/>
  <c r="K142" i="2"/>
  <c r="I143" i="2"/>
  <c r="K143" i="2"/>
  <c r="I144" i="2"/>
  <c r="K144" i="2"/>
  <c r="I145" i="2"/>
  <c r="K145" i="2"/>
  <c r="I146" i="2"/>
  <c r="K146" i="2"/>
  <c r="I147" i="2"/>
  <c r="K147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162" i="2"/>
  <c r="K162" i="2"/>
  <c r="I163" i="2"/>
  <c r="K163" i="2"/>
  <c r="I164" i="2"/>
  <c r="K164" i="2"/>
  <c r="I165" i="2"/>
  <c r="K165" i="2"/>
  <c r="I166" i="2"/>
  <c r="K166" i="2"/>
  <c r="I167" i="2"/>
  <c r="K167" i="2"/>
  <c r="I168" i="2"/>
  <c r="K168" i="2"/>
  <c r="I169" i="2"/>
  <c r="K169" i="2"/>
  <c r="I170" i="2"/>
  <c r="K170" i="2"/>
  <c r="I171" i="2"/>
  <c r="K171" i="2"/>
  <c r="I172" i="2"/>
  <c r="K172" i="2"/>
  <c r="I173" i="2"/>
  <c r="K173" i="2"/>
  <c r="I174" i="2"/>
  <c r="K174" i="2"/>
  <c r="I175" i="2"/>
  <c r="K175" i="2"/>
  <c r="I176" i="2"/>
  <c r="K176" i="2"/>
  <c r="I177" i="2"/>
  <c r="K177" i="2"/>
  <c r="I178" i="2"/>
  <c r="K178" i="2"/>
  <c r="I179" i="2"/>
  <c r="K179" i="2"/>
  <c r="I180" i="2"/>
  <c r="K180" i="2"/>
  <c r="I181" i="2"/>
  <c r="K181" i="2"/>
  <c r="I182" i="2"/>
  <c r="K182" i="2"/>
  <c r="I4" i="2"/>
  <c r="K4" i="2"/>
  <c r="I5" i="2"/>
  <c r="K5" i="2"/>
  <c r="I6" i="2"/>
  <c r="K6" i="2"/>
  <c r="I7" i="2"/>
  <c r="K7" i="2"/>
  <c r="K3" i="2"/>
  <c r="I3" i="2"/>
  <c r="N20" i="2" l="1"/>
  <c r="P16" i="2"/>
  <c r="O16" i="2"/>
  <c r="P15" i="2"/>
  <c r="O15" i="2"/>
  <c r="P14" i="2"/>
  <c r="O14" i="2"/>
  <c r="P13" i="2"/>
  <c r="P20" i="2" s="1"/>
  <c r="O13" i="2"/>
  <c r="O20" i="2" s="1"/>
  <c r="P11" i="2"/>
  <c r="O11" i="2"/>
  <c r="P10" i="2"/>
  <c r="O10" i="2"/>
  <c r="P9" i="2"/>
  <c r="P19" i="2" s="1"/>
  <c r="O9" i="2"/>
  <c r="N8" i="2"/>
  <c r="N19" i="2" s="1"/>
  <c r="O8" i="2"/>
  <c r="O19" i="2" l="1"/>
</calcChain>
</file>

<file path=xl/sharedStrings.xml><?xml version="1.0" encoding="utf-8"?>
<sst xmlns="http://schemas.openxmlformats.org/spreadsheetml/2006/main" count="2947" uniqueCount="237">
  <si>
    <t>Newmont Corporation</t>
  </si>
  <si>
    <t>S&amp;P 500 component</t>
  </si>
  <si>
    <t>S&amp;P/TSX 60 component</t>
  </si>
  <si>
    <t>Barrick Gold Corporation</t>
  </si>
  <si>
    <t>Johannesburg, South Africa</t>
  </si>
  <si>
    <t>Toronto, Canada</t>
  </si>
  <si>
    <t>AngloGold Ashanti</t>
  </si>
  <si>
    <t>Notes</t>
  </si>
  <si>
    <t>Identifier</t>
  </si>
  <si>
    <t>Company name</t>
  </si>
  <si>
    <t>Location</t>
  </si>
  <si>
    <t>Greenwood Village, Colorado, United States</t>
  </si>
  <si>
    <t>Kinross Gold Corporation</t>
  </si>
  <si>
    <t>Oracle Corporation</t>
  </si>
  <si>
    <t>Redwood Shores, California</t>
  </si>
  <si>
    <t>Microsoft Corporation</t>
  </si>
  <si>
    <t>Redmond, Washington</t>
  </si>
  <si>
    <t>Apple Inc.</t>
  </si>
  <si>
    <t>Cupertino, California</t>
  </si>
  <si>
    <t>Santa Clara, California</t>
  </si>
  <si>
    <t>Intel Corporation</t>
  </si>
  <si>
    <t>Gold Mining Firms</t>
  </si>
  <si>
    <t>Technology Firms</t>
  </si>
  <si>
    <t>2005m1</t>
  </si>
  <si>
    <t>KINROSS GOLD CORP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</si>
  <si>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</si>
  <si>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</si>
  <si>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</si>
  <si>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</si>
  <si>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</si>
  <si>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</si>
  <si>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</si>
  <si>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</si>
  <si>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</si>
  <si>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</si>
  <si>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</si>
  <si>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</si>
  <si>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</si>
  <si>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</si>
  <si>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</si>
  <si>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</si>
  <si>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</si>
  <si>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</si>
  <si>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</si>
  <si>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</si>
  <si>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</si>
  <si>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</si>
  <si>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</si>
  <si>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</si>
  <si>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</si>
  <si>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</si>
  <si>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</si>
  <si>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</si>
  <si>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</si>
  <si>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</si>
  <si>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</si>
  <si>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</si>
  <si>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</si>
  <si>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</si>
  <si>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</si>
  <si>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</si>
  <si>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</si>
  <si>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</si>
  <si>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</si>
  <si>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</si>
  <si>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</si>
  <si>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</si>
  <si>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</si>
  <si>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</si>
  <si>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</si>
  <si>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</si>
  <si>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</si>
  <si>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</si>
  <si>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</si>
  <si>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</si>
  <si>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</si>
  <si>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</si>
  <si>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</si>
  <si>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</si>
  <si>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</si>
  <si>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</si>
  <si>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</si>
  <si>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</si>
  <si>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</si>
  <si>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</si>
  <si>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</si>
  <si>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</si>
  <si>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</si>
  <si>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</si>
  <si>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</si>
  <si>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</si>
  <si>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</si>
  <si>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</si>
  <si>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</si>
  <si>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</si>
  <si>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</si>
  <si>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</si>
  <si>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</si>
  <si>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</si>
  <si>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</si>
  <si>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</si>
  <si>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</si>
  <si>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</si>
  <si>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</si>
  <si>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</si>
  <si>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</si>
  <si>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</si>
  <si>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</si>
  <si>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</si>
  <si>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</si>
  <si>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</si>
  <si>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</si>
  <si>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</si>
  <si>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</si>
  <si>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</si>
  <si>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</si>
  <si>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</si>
  <si>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</si>
  <si>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</si>
  <si>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</si>
  <si>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</si>
  <si>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</si>
  <si>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</si>
  <si>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</si>
  <si>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</si>
  <si>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</si>
  <si>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</si>
  <si>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</si>
  <si>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</si>
  <si>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</si>
  <si>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</si>
  <si>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</si>
  <si>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</si>
  <si>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</si>
  <si>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</si>
  <si>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</si>
  <si>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</si>
  <si>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</si>
  <si>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</si>
  <si>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</si>
  <si>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</si>
  <si>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</si>
  <si>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</si>
  <si>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</si>
  <si>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</si>
  <si>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</si>
  <si>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</si>
  <si>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</si>
  <si>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</si>
  <si>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</si>
  <si>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</si>
  <si>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</si>
  <si>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</si>
  <si>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</si>
  <si>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</si>
  <si>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</si>
  <si>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</si>
  <si>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</si>
  <si>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</si>
  <si>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</si>
  <si>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</si>
  <si>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</si>
  <si>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</si>
  <si>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</si>
  <si>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</si>
  <si>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</si>
  <si>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</si>
  <si>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</si>
  <si>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</si>
  <si>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</si>
  <si>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</si>
  <si>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</si>
  <si>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</si>
  <si>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</si>
  <si>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</si>
  <si>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</si>
  <si>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</si>
  <si>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</si>
  <si>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</si>
  <si>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</si>
  <si>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</si>
  <si>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</si>
  <si>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</si>
  <si>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</si>
  <si>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</si>
  <si>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</si>
  <si>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</si>
  <si>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</si>
  <si>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</si>
  <si>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</si>
  <si>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</si>
  <si>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</si>
  <si>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</si>
  <si>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</si>
  <si>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</si>
  <si>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</si>
  <si>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</si>
  <si>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</si>
  <si>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</si>
  <si>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</si>
  <si>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</si>
  <si>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</si>
  <si>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</si>
  <si>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</si>
  <si>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ANGLOGOLD ASHANTI LTD</t>
  </si>
  <si>
    <t>BARRICK GOLD CORP</t>
  </si>
  <si>
    <t>NEWMONT MINING CORP</t>
  </si>
  <si>
    <t>NEWMONT GOLDCORP CORP</t>
  </si>
  <si>
    <t>APPLE COMPUTER INC</t>
  </si>
  <si>
    <t>APPLE INC</t>
  </si>
  <si>
    <t>MICROSOFT CORP</t>
  </si>
  <si>
    <t>ORACLE CORP</t>
  </si>
  <si>
    <t>INTEL CORP</t>
  </si>
  <si>
    <t>GLD ETF return</t>
  </si>
  <si>
    <t>Excess return</t>
  </si>
  <si>
    <t>Excess market return</t>
  </si>
  <si>
    <t>Excess return on GLD</t>
  </si>
  <si>
    <t>Date</t>
  </si>
  <si>
    <t>Permno</t>
  </si>
  <si>
    <t>Return</t>
  </si>
  <si>
    <t>Risk-free rate</t>
  </si>
  <si>
    <t>Market return</t>
  </si>
  <si>
    <t>Firm Name</t>
  </si>
  <si>
    <t xml:space="preserve">Risk factors: the market factor, the price of gold. </t>
  </si>
  <si>
    <t xml:space="preserve">We will use GLD ETF as a factor-mimicking portfolio for the price of gold. </t>
  </si>
  <si>
    <t>Gold Mining Stocks</t>
  </si>
  <si>
    <t>Technology Stocks</t>
  </si>
  <si>
    <t>Market</t>
  </si>
  <si>
    <t>Gold</t>
  </si>
  <si>
    <t xml:space="preserve">Gold </t>
  </si>
  <si>
    <t>Loadings</t>
  </si>
  <si>
    <t>Under the exact two-factor APT assumption, the stock market and gold ETF are used as the priced systematic factors. The estimated factor loadings are treated as the sector exposures.</t>
  </si>
  <si>
    <t>Forecasted monthly factor risk premia:</t>
  </si>
  <si>
    <t>Expected sector excess returns are computed using the average estimated factor loadings.</t>
  </si>
  <si>
    <t>Expected excess return on technology sector</t>
  </si>
  <si>
    <t>Expected excess return on the gold mining sector</t>
  </si>
  <si>
    <t>Two-factor APT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</si>
</sst>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164" fontId="2" fillId="3" borderId="0" xfId="1" applyNumberFormat="1" applyFont="1" applyFill="1"/>
    <xf numFmtId="10" fontId="2" fillId="0" borderId="0" xfId="0" applyNumberFormat="1" applyFont="1"/>
    <xf numFmtId="0" fontId="0" fillId="0" borderId="1" xfId="0" applyBorder="1"/>
    <xf numFmtId="0" fontId="0" fillId="0" borderId="2" xfId="0" applyBorder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0" fontId="2" fillId="3" borderId="0" xfId="1" applyNumberFormat="1" applyFont="1" applyFill="1"/>
    <xf numFmtId="0" fontId="0" fillId="0" borderId="3" xfId="0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621030</xdr:colOff>
      <xdr:row>4</xdr:row>
      <xdr:rowOff>80010</xdr:rowOff>
    </xdr:from>
    <xdr:ext cx="4523803" cy="2670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621030" y="628650"/>
              <a:ext cx="4523803" cy="2670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500" b="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𝑀𝐾𝑇</m:t>
                        </m:r>
                      </m:sub>
                      <m:sup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  <m:d>
                      <m:d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𝑀𝐾𝑇</m:t>
                            </m:r>
                          </m:sub>
                        </m:s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𝐺𝐿𝐷</m:t>
                        </m:r>
                      </m:sub>
                      <m:sup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  <m:d>
                      <m:d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𝐺𝐿𝐷</m:t>
                            </m:r>
                          </m:sub>
                        </m:s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5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21030" y="628650"/>
              <a:ext cx="4523803" cy="2670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𝑟_𝑖−𝑟_𝑓=𝛼+𝛽_𝑀𝐾𝑇^𝑖 (𝑟_𝑀𝐾𝑇−𝑟_𝑓 )+𝛽_𝐺𝐿𝐷^𝑖 (𝑟_𝐺𝐿𝐷−𝑟_𝑓 )+𝜖_𝑖</a:t>
              </a:r>
              <a:endParaRPr lang="en-US" sz="1500"/>
            </a:p>
          </xdr:txBody>
        </xdr:sp>
      </mc:Fallback>
    </mc:AlternateContent>
    <xdr:clientData/>
  </xdr:oneCellAnchor>
  <xdr:twoCellAnchor editAs="oneCell">
    <xdr:from>
      <xdr:col>0</xdr:col>
      <xdr:colOff>232410</xdr:colOff>
      <xdr:row>8</xdr:row>
      <xdr:rowOff>167640</xdr:rowOff>
    </xdr:from>
    <xdr:to>
      <xdr:col>3</xdr:col>
      <xdr:colOff>1283970</xdr:colOff>
      <xdr:row>22</xdr:row>
      <xdr:rowOff>117823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" y="1539240"/>
          <a:ext cx="6035040" cy="2510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171450</xdr:colOff>
      <xdr:row>5</xdr:row>
      <xdr:rowOff>24765</xdr:rowOff>
    </xdr:from>
    <xdr:ext cx="392430" cy="234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9726930" y="1304925"/>
              <a:ext cx="392430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𝐺𝐿𝐷</m:t>
                        </m:r>
                      </m:sub>
                    </m:sSub>
                  </m:oMath>
                </m:oMathPara>
              </a14:m>
              <a:endParaRPr lang="en-US" sz="15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9726930" y="1304925"/>
              <a:ext cx="392430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𝛽_𝐺𝐿𝐷</a:t>
              </a:r>
              <a:endParaRPr lang="en-US" sz="1500"/>
            </a:p>
          </xdr:txBody>
        </xdr:sp>
      </mc:Fallback>
    </mc:AlternateContent>
    <xdr:clientData/>
  </xdr:oneCellAnchor>
  <xdr:oneCellAnchor>
    <xdr:from>
      <xdr:col>14</xdr:col>
      <xdr:colOff>137160</xdr:colOff>
      <xdr:row>5</xdr:row>
      <xdr:rowOff>32385</xdr:rowOff>
    </xdr:from>
    <xdr:ext cx="392430" cy="234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10332720" y="1312545"/>
              <a:ext cx="392430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𝑀𝐾𝑇</m:t>
                        </m:r>
                      </m:sub>
                    </m:sSub>
                  </m:oMath>
                </m:oMathPara>
              </a14:m>
              <a:endParaRPr lang="en-US" sz="15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0332720" y="1312545"/>
              <a:ext cx="392430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𝛽_𝑀𝐾𝑇</a:t>
              </a:r>
              <a:endParaRPr lang="en-US" sz="1500"/>
            </a:p>
          </xdr:txBody>
        </xdr:sp>
      </mc:Fallback>
    </mc:AlternateContent>
    <xdr:clientData/>
  </xdr:oneCellAnchor>
  <xdr:oneCellAnchor>
    <xdr:from>
      <xdr:col>15</xdr:col>
      <xdr:colOff>156210</xdr:colOff>
      <xdr:row>0</xdr:row>
      <xdr:rowOff>333375</xdr:rowOff>
    </xdr:from>
    <xdr:ext cx="392430" cy="23480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199370" y="333375"/>
          <a:ext cx="392430" cy="234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500"/>
        </a:p>
      </xdr:txBody>
    </xdr:sp>
    <xdr:clientData/>
  </xdr:oneCellAnchor>
  <xdr:oneCellAnchor>
    <xdr:from>
      <xdr:col>15</xdr:col>
      <xdr:colOff>224790</xdr:colOff>
      <xdr:row>5</xdr:row>
      <xdr:rowOff>55245</xdr:rowOff>
    </xdr:from>
    <xdr:ext cx="153952" cy="234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11060430" y="1335405"/>
              <a:ext cx="153952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500" b="0" i="1">
                        <a:latin typeface="Cambria Math" panose="02040503050406030204" pitchFamily="18" charset="0"/>
                      </a:rPr>
                      <m:t>α</m:t>
                    </m:r>
                  </m:oMath>
                </m:oMathPara>
              </a14:m>
              <a:endParaRPr lang="en-US" sz="1500" b="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1060430" y="1335405"/>
              <a:ext cx="153952" cy="234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α</a:t>
              </a:r>
              <a:endParaRPr lang="en-US" sz="1500" b="0"/>
            </a:p>
          </xdr:txBody>
        </xdr:sp>
      </mc:Fallback>
    </mc:AlternateContent>
    <xdr:clientData/>
  </xdr:oneCellAnchor>
  <xdr:oneCellAnchor>
    <xdr:from>
      <xdr:col>12</xdr:col>
      <xdr:colOff>407670</xdr:colOff>
      <xdr:row>2</xdr:row>
      <xdr:rowOff>123825</xdr:rowOff>
    </xdr:from>
    <xdr:ext cx="4523803" cy="2670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8389620" y="855345"/>
              <a:ext cx="4523803" cy="2670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500" b="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𝑀𝐾𝑇</m:t>
                        </m:r>
                      </m:sub>
                      <m:sup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  <m:d>
                      <m:d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𝑀𝐾𝑇</m:t>
                            </m:r>
                          </m:sub>
                        </m:s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𝐺𝐿𝐷</m:t>
                        </m:r>
                      </m:sub>
                      <m:sup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  <m:d>
                      <m:d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𝐺𝐿𝐷</m:t>
                            </m:r>
                          </m:sub>
                        </m:s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5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8389620" y="855345"/>
              <a:ext cx="4523803" cy="2670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𝑟_𝑖−𝑟_𝑓=𝛼+𝛽_𝑀𝐾𝑇^𝑖 (𝑟_𝑀𝐾𝑇−𝑟_𝑓 )+𝛽_𝐺𝐿𝐷^𝑖 (𝑟_𝐺𝐿𝐷−𝑟_𝑓 )+𝜖_𝑖</a:t>
              </a:r>
              <a:endParaRPr lang="en-US" sz="15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85725</xdr:rowOff>
    </xdr:from>
    <xdr:ext cx="2666692" cy="249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0" y="1731645"/>
              <a:ext cx="2666692" cy="249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5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5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acc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𝑀𝐾𝑇</m:t>
                        </m:r>
                      </m:sub>
                    </m:sSub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𝑀𝐾𝑇</m:t>
                        </m:r>
                      </m:sub>
                    </m:sSub>
                    <m:r>
                      <a:rPr lang="en-US" sz="15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𝐺𝐿𝐷</m:t>
                        </m:r>
                      </m:sub>
                    </m:sSub>
                    <m:sSub>
                      <m:sSubPr>
                        <m:ctrlPr>
                          <a:rPr lang="en-US" sz="15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500" b="0" i="1">
                            <a:latin typeface="Cambria Math" panose="02040503050406030204" pitchFamily="18" charset="0"/>
                          </a:rPr>
                          <m:t>𝐺𝐿𝐷</m:t>
                        </m:r>
                      </m:sub>
                    </m:sSub>
                  </m:oMath>
                </m:oMathPara>
              </a14:m>
              <a:endParaRPr lang="en-US" sz="15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0" y="1731645"/>
              <a:ext cx="2666692" cy="249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500" b="0" i="0">
                  <a:latin typeface="Cambria Math" panose="02040503050406030204" pitchFamily="18" charset="0"/>
                </a:rPr>
                <a:t>𝑟 ̅_𝑝−𝑟_𝑓=𝜆_𝑀𝐾𝑇 𝑏_𝑀𝐾𝑇+𝜆_𝐺𝐿𝐷 𝑏_𝐺𝐿𝐷</a:t>
              </a:r>
              <a:endParaRPr lang="en-US" sz="15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"/>
  <sheetViews>
    <sheetView tabSelected="1" zoomScale="120" zoomScaleNormal="120" workbookViewId="0">
      <selection activeCell="C2" sqref="C2"/>
    </sheetView>
  </sheetViews>
  <sheetFormatPr defaultRowHeight="14.5" x14ac:dyDescent="0.35"/>
  <cols>
    <col min="2" max="2" width="24.1796875" customWidth="1"/>
    <col min="3" max="3" width="35.81640625" customWidth="1"/>
    <col min="4" max="4" width="21.453125" customWidth="1"/>
  </cols>
  <sheetData>
    <row r="2" spans="2:2" ht="17" x14ac:dyDescent="0.4">
      <c r="B2" s="7" t="s">
        <v>236</v>
      </c>
    </row>
    <row r="3" spans="2:2" ht="17" x14ac:dyDescent="0.4">
      <c r="B3" s="6"/>
    </row>
    <row r="4" spans="2:2" ht="17" x14ac:dyDescent="0.4">
      <c r="B4" s="6" t="s">
        <v>223</v>
      </c>
    </row>
    <row r="5" spans="2:2" x14ac:dyDescent="0.35">
      <c r="B5" s="1"/>
    </row>
    <row r="6" spans="2:2" x14ac:dyDescent="0.35">
      <c r="B6" s="1"/>
    </row>
    <row r="7" spans="2:2" x14ac:dyDescent="0.35">
      <c r="B7" s="1"/>
    </row>
    <row r="8" spans="2:2" ht="17" x14ac:dyDescent="0.4">
      <c r="B8" s="6" t="s">
        <v>224</v>
      </c>
    </row>
    <row r="9" spans="2:2" x14ac:dyDescent="0.35">
      <c r="B9" s="1"/>
    </row>
    <row r="10" spans="2:2" x14ac:dyDescent="0.35">
      <c r="B10" s="1"/>
    </row>
    <row r="11" spans="2:2" x14ac:dyDescent="0.35">
      <c r="B11" s="1"/>
    </row>
    <row r="12" spans="2:2" x14ac:dyDescent="0.35">
      <c r="B12" s="1"/>
    </row>
    <row r="13" spans="2:2" x14ac:dyDescent="0.35">
      <c r="B13" s="1"/>
    </row>
    <row r="14" spans="2:2" x14ac:dyDescent="0.35">
      <c r="B14" s="1"/>
    </row>
    <row r="15" spans="2:2" x14ac:dyDescent="0.35">
      <c r="B15" s="1"/>
    </row>
    <row r="16" spans="2:2" x14ac:dyDescent="0.35">
      <c r="B16" s="1"/>
    </row>
    <row r="17" spans="1:4" x14ac:dyDescent="0.35">
      <c r="B17" s="1"/>
    </row>
    <row r="18" spans="1:4" x14ac:dyDescent="0.35">
      <c r="B18" s="1"/>
    </row>
    <row r="19" spans="1:4" x14ac:dyDescent="0.35">
      <c r="B19" s="1"/>
    </row>
    <row r="20" spans="1:4" x14ac:dyDescent="0.35">
      <c r="B20" s="1"/>
    </row>
    <row r="21" spans="1:4" x14ac:dyDescent="0.35">
      <c r="B21" s="1"/>
    </row>
    <row r="22" spans="1:4" x14ac:dyDescent="0.35">
      <c r="B22" s="1"/>
    </row>
    <row r="23" spans="1:4" x14ac:dyDescent="0.35">
      <c r="B23" s="1"/>
    </row>
    <row r="24" spans="1:4" x14ac:dyDescent="0.35">
      <c r="B24" s="1"/>
    </row>
    <row r="25" spans="1:4" x14ac:dyDescent="0.35">
      <c r="B25" s="1"/>
    </row>
    <row r="26" spans="1:4" x14ac:dyDescent="0.35">
      <c r="A26" s="21" t="s">
        <v>21</v>
      </c>
      <c r="B26" s="21"/>
      <c r="C26" s="21"/>
      <c r="D26" s="21"/>
    </row>
    <row r="27" spans="1:4" x14ac:dyDescent="0.35">
      <c r="A27" s="8" t="s">
        <v>8</v>
      </c>
      <c r="B27" s="8" t="s">
        <v>9</v>
      </c>
      <c r="C27" s="8" t="s">
        <v>10</v>
      </c>
      <c r="D27" s="8" t="s">
        <v>7</v>
      </c>
    </row>
    <row r="28" spans="1:4" x14ac:dyDescent="0.35">
      <c r="A28" s="2">
        <v>21207</v>
      </c>
      <c r="B28" s="2" t="s">
        <v>0</v>
      </c>
      <c r="C28" s="2" t="s">
        <v>11</v>
      </c>
      <c r="D28" s="2" t="s">
        <v>1</v>
      </c>
    </row>
    <row r="29" spans="1:4" x14ac:dyDescent="0.35">
      <c r="A29" s="2">
        <v>71298</v>
      </c>
      <c r="B29" s="2" t="s">
        <v>3</v>
      </c>
      <c r="C29" s="2" t="s">
        <v>5</v>
      </c>
      <c r="D29" s="2" t="s">
        <v>2</v>
      </c>
    </row>
    <row r="30" spans="1:4" x14ac:dyDescent="0.35">
      <c r="A30" s="2">
        <v>86341</v>
      </c>
      <c r="B30" s="2" t="s">
        <v>6</v>
      </c>
      <c r="C30" s="2" t="s">
        <v>4</v>
      </c>
      <c r="D30" s="2"/>
    </row>
    <row r="31" spans="1:4" x14ac:dyDescent="0.35">
      <c r="A31" s="2">
        <v>89692</v>
      </c>
      <c r="B31" s="2" t="s">
        <v>12</v>
      </c>
      <c r="C31" s="2" t="s">
        <v>5</v>
      </c>
      <c r="D31" s="2"/>
    </row>
    <row r="32" spans="1:4" x14ac:dyDescent="0.35">
      <c r="A32" s="2"/>
      <c r="B32" s="2"/>
      <c r="C32" s="2"/>
      <c r="D32" s="2"/>
    </row>
    <row r="33" spans="1:4" x14ac:dyDescent="0.35">
      <c r="A33" s="21" t="s">
        <v>22</v>
      </c>
      <c r="B33" s="21"/>
      <c r="C33" s="21"/>
      <c r="D33" s="21"/>
    </row>
    <row r="34" spans="1:4" x14ac:dyDescent="0.35">
      <c r="A34" s="8" t="s">
        <v>8</v>
      </c>
      <c r="B34" s="8" t="s">
        <v>9</v>
      </c>
      <c r="C34" s="8" t="s">
        <v>10</v>
      </c>
      <c r="D34" s="8" t="s">
        <v>7</v>
      </c>
    </row>
    <row r="35" spans="1:4" x14ac:dyDescent="0.35">
      <c r="A35" s="2">
        <v>10104</v>
      </c>
      <c r="B35" s="2" t="s">
        <v>13</v>
      </c>
      <c r="C35" s="2" t="s">
        <v>14</v>
      </c>
      <c r="D35" s="2" t="s">
        <v>1</v>
      </c>
    </row>
    <row r="36" spans="1:4" x14ac:dyDescent="0.35">
      <c r="A36" s="2">
        <v>10107</v>
      </c>
      <c r="B36" s="2" t="s">
        <v>15</v>
      </c>
      <c r="C36" s="2" t="s">
        <v>16</v>
      </c>
      <c r="D36" s="2" t="s">
        <v>1</v>
      </c>
    </row>
    <row r="37" spans="1:4" x14ac:dyDescent="0.35">
      <c r="A37" s="2">
        <v>14593</v>
      </c>
      <c r="B37" s="2" t="s">
        <v>17</v>
      </c>
      <c r="C37" s="2" t="s">
        <v>18</v>
      </c>
      <c r="D37" s="2" t="s">
        <v>1</v>
      </c>
    </row>
    <row r="38" spans="1:4" x14ac:dyDescent="0.35">
      <c r="A38" s="2">
        <v>59328</v>
      </c>
      <c r="B38" s="2" t="s">
        <v>20</v>
      </c>
      <c r="C38" s="2" t="s">
        <v>19</v>
      </c>
      <c r="D38" s="2" t="s">
        <v>1</v>
      </c>
    </row>
  </sheetData>
  <mergeCells count="2">
    <mergeCell ref="A26:D26"/>
    <mergeCell ref="A33:D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49"/>
  <sheetViews>
    <sheetView workbookViewId="0">
      <selection activeCell="M19" sqref="M19:O20"/>
    </sheetView>
  </sheetViews>
  <sheetFormatPr defaultRowHeight="14.5" x14ac:dyDescent="0.35"/>
  <cols>
    <col min="4" max="4" width="9.7265625" style="5" bestFit="1" customWidth="1"/>
    <col min="7" max="7" width="19.6328125" customWidth="1"/>
    <col min="8" max="8" width="4.81640625" customWidth="1"/>
    <col min="12" max="12" width="5.36328125" customWidth="1"/>
    <col min="13" max="13" width="21.7265625" customWidth="1"/>
  </cols>
  <sheetData>
    <row r="1" spans="1:16" ht="43.5" x14ac:dyDescent="0.35">
      <c r="A1" s="9" t="s">
        <v>217</v>
      </c>
      <c r="B1" s="9" t="s">
        <v>218</v>
      </c>
      <c r="C1" s="9" t="s">
        <v>219</v>
      </c>
      <c r="D1" s="9" t="s">
        <v>220</v>
      </c>
      <c r="E1" s="9" t="s">
        <v>221</v>
      </c>
      <c r="F1" s="9" t="s">
        <v>213</v>
      </c>
      <c r="G1" s="9" t="s">
        <v>222</v>
      </c>
      <c r="H1" s="9"/>
      <c r="I1" s="9" t="s">
        <v>214</v>
      </c>
      <c r="J1" s="9" t="s">
        <v>215</v>
      </c>
      <c r="K1" s="9" t="s">
        <v>216</v>
      </c>
      <c r="L1" s="4"/>
    </row>
    <row r="2" spans="1:16" x14ac:dyDescent="0.35">
      <c r="D2"/>
      <c r="J2" s="3"/>
      <c r="K2" s="3"/>
      <c r="L2" s="3"/>
    </row>
    <row r="3" spans="1:16" x14ac:dyDescent="0.35">
      <c r="A3" t="s">
        <v>23</v>
      </c>
      <c r="B3">
        <v>89692</v>
      </c>
      <c r="C3">
        <v>-6.5340999999999996E-2</v>
      </c>
      <c r="D3" s="5">
        <v>4.7948841000000003E-5</v>
      </c>
      <c r="E3">
        <v>-2.6517817999999999E-2</v>
      </c>
      <c r="F3">
        <v>-3.6073000000000001E-2</v>
      </c>
      <c r="G3" t="s">
        <v>24</v>
      </c>
      <c r="I3">
        <f>C3-D3</f>
        <v>-6.5388948840999994E-2</v>
      </c>
      <c r="J3">
        <f>E3-D3</f>
        <v>-2.6565766841E-2</v>
      </c>
      <c r="K3">
        <f>F3-D3</f>
        <v>-3.6120948840999999E-2</v>
      </c>
    </row>
    <row r="4" spans="1:16" x14ac:dyDescent="0.35">
      <c r="A4" t="s">
        <v>25</v>
      </c>
      <c r="B4">
        <v>89692</v>
      </c>
      <c r="C4">
        <v>9.1190000000000004E-3</v>
      </c>
      <c r="D4" s="5">
        <v>5.5244941999999998E-5</v>
      </c>
      <c r="E4">
        <v>2.2697801E-2</v>
      </c>
      <c r="F4">
        <v>3.0790999999999999E-2</v>
      </c>
      <c r="G4" t="s">
        <v>24</v>
      </c>
      <c r="I4">
        <f t="shared" ref="I4:I8" si="0">C4-D4</f>
        <v>9.0637550580000004E-3</v>
      </c>
      <c r="J4">
        <f t="shared" ref="J4:J67" si="1">E4-D4</f>
        <v>2.2642556058000002E-2</v>
      </c>
      <c r="K4">
        <f t="shared" ref="K4:K8" si="2">F4-D4</f>
        <v>3.0735755058000001E-2</v>
      </c>
    </row>
    <row r="5" spans="1:16" x14ac:dyDescent="0.35">
      <c r="A5" t="s">
        <v>26</v>
      </c>
      <c r="B5">
        <v>89692</v>
      </c>
      <c r="C5">
        <v>-9.6385999999999999E-2</v>
      </c>
      <c r="D5" s="5">
        <v>6.8319866999999999E-5</v>
      </c>
      <c r="E5">
        <v>-1.6850591000000002E-2</v>
      </c>
      <c r="F5">
        <v>-1.6084999999999999E-2</v>
      </c>
      <c r="G5" t="s">
        <v>24</v>
      </c>
      <c r="I5">
        <f t="shared" si="0"/>
        <v>-9.6454319866999996E-2</v>
      </c>
      <c r="J5">
        <f t="shared" si="1"/>
        <v>-1.6918910867000002E-2</v>
      </c>
      <c r="K5">
        <f t="shared" si="2"/>
        <v>-1.6153319866999999E-2</v>
      </c>
    </row>
    <row r="6" spans="1:16" x14ac:dyDescent="0.35">
      <c r="A6" t="s">
        <v>27</v>
      </c>
      <c r="B6">
        <v>89692</v>
      </c>
      <c r="C6">
        <v>-0.108333</v>
      </c>
      <c r="D6" s="5">
        <v>7.1599496999999996E-5</v>
      </c>
      <c r="E6">
        <v>-2.5221592000000001E-2</v>
      </c>
      <c r="F6">
        <v>1.2377000000000001E-2</v>
      </c>
      <c r="G6" t="s">
        <v>24</v>
      </c>
      <c r="I6">
        <f t="shared" si="0"/>
        <v>-0.108404599497</v>
      </c>
      <c r="J6">
        <f t="shared" si="1"/>
        <v>-2.5293191497E-2</v>
      </c>
      <c r="K6">
        <f t="shared" si="2"/>
        <v>1.2305400503E-2</v>
      </c>
    </row>
    <row r="7" spans="1:16" x14ac:dyDescent="0.35">
      <c r="A7" t="s">
        <v>28</v>
      </c>
      <c r="B7">
        <v>89692</v>
      </c>
      <c r="C7">
        <v>-3.738E-3</v>
      </c>
      <c r="D7" s="5">
        <v>7.3475609999999999E-5</v>
      </c>
      <c r="E7">
        <v>3.7993193000000001E-2</v>
      </c>
      <c r="F7">
        <v>-3.9216000000000001E-2</v>
      </c>
      <c r="G7" t="s">
        <v>24</v>
      </c>
      <c r="I7">
        <f t="shared" si="0"/>
        <v>-3.8114756100000001E-3</v>
      </c>
      <c r="J7">
        <f t="shared" si="1"/>
        <v>3.7919717390000003E-2</v>
      </c>
      <c r="K7">
        <f t="shared" si="2"/>
        <v>-3.9289475609999999E-2</v>
      </c>
    </row>
    <row r="8" spans="1:16" x14ac:dyDescent="0.35">
      <c r="A8" t="s">
        <v>29</v>
      </c>
      <c r="B8">
        <v>89692</v>
      </c>
      <c r="C8">
        <v>0.14446500000000001</v>
      </c>
      <c r="D8" s="5">
        <v>7.5899545000000004E-5</v>
      </c>
      <c r="E8">
        <v>1.1474352E-2</v>
      </c>
      <c r="F8">
        <v>4.2977000000000001E-2</v>
      </c>
      <c r="G8" t="s">
        <v>24</v>
      </c>
      <c r="I8">
        <f t="shared" si="0"/>
        <v>0.144389100455</v>
      </c>
      <c r="J8">
        <f t="shared" si="1"/>
        <v>1.1398452454999999E-2</v>
      </c>
      <c r="K8">
        <f t="shared" si="2"/>
        <v>4.2901100455000001E-2</v>
      </c>
      <c r="M8" t="s">
        <v>12</v>
      </c>
      <c r="N8" s="10">
        <f t="array" ref="N8:P8">LINEST(I3:I182,J3:K182,1,1)</f>
        <v>1.9200405264725184</v>
      </c>
      <c r="O8" s="10">
        <v>0.30012271459005324</v>
      </c>
      <c r="P8" s="3">
        <v>-8.7771133699825355E-3</v>
      </c>
    </row>
    <row r="9" spans="1:16" x14ac:dyDescent="0.35">
      <c r="A9" t="s">
        <v>30</v>
      </c>
      <c r="B9">
        <v>89692</v>
      </c>
      <c r="C9">
        <v>-8.8525000000000006E-2</v>
      </c>
      <c r="D9" s="5">
        <v>8.1133752000000001E-5</v>
      </c>
      <c r="E9">
        <v>4.3326780000000002E-2</v>
      </c>
      <c r="F9">
        <v>-1.4272999999999999E-2</v>
      </c>
      <c r="G9" t="s">
        <v>24</v>
      </c>
      <c r="I9">
        <f t="shared" ref="I9:I72" si="3">C9-D9</f>
        <v>-8.8606133752000008E-2</v>
      </c>
      <c r="J9">
        <f t="shared" si="1"/>
        <v>4.3245646248000001E-2</v>
      </c>
      <c r="K9">
        <f t="shared" ref="K9:K72" si="4">F9-D9</f>
        <v>-1.4354133751999999E-2</v>
      </c>
      <c r="M9" t="s">
        <v>6</v>
      </c>
      <c r="N9" s="10">
        <f t="array" ref="N9:P9">LINEST(I184:I363,J184:K363,1,1)</f>
        <v>1.8241067453608655</v>
      </c>
      <c r="O9" s="10">
        <v>9.4705081946849221E-2</v>
      </c>
      <c r="P9" s="3">
        <v>-7.2951943762470852E-3</v>
      </c>
    </row>
    <row r="10" spans="1:16" x14ac:dyDescent="0.35">
      <c r="A10" t="s">
        <v>31</v>
      </c>
      <c r="B10">
        <v>89692</v>
      </c>
      <c r="C10">
        <v>0.13669100000000001</v>
      </c>
      <c r="D10" s="5">
        <v>8.8369225999999999E-5</v>
      </c>
      <c r="E10">
        <v>-6.0141183999999999E-3</v>
      </c>
      <c r="F10">
        <v>1.3545E-2</v>
      </c>
      <c r="G10" t="s">
        <v>24</v>
      </c>
      <c r="I10">
        <f t="shared" si="3"/>
        <v>0.13660263077400001</v>
      </c>
      <c r="J10">
        <f t="shared" si="1"/>
        <v>-6.1024876260000003E-3</v>
      </c>
      <c r="K10">
        <f t="shared" si="4"/>
        <v>1.3456630774E-2</v>
      </c>
      <c r="M10" t="s">
        <v>3</v>
      </c>
      <c r="N10" s="10">
        <f t="array" ref="N10:P10">LINEST(I365:I544,J365:K544,1,1)</f>
        <v>1.8109165532531533</v>
      </c>
      <c r="O10" s="10">
        <v>0.16082079360824869</v>
      </c>
      <c r="P10" s="3">
        <v>-8.1530609925572137E-3</v>
      </c>
    </row>
    <row r="11" spans="1:16" x14ac:dyDescent="0.35">
      <c r="A11" t="s">
        <v>32</v>
      </c>
      <c r="B11">
        <v>89692</v>
      </c>
      <c r="C11">
        <v>0.21518999999999999</v>
      </c>
      <c r="D11" s="5">
        <v>9.2246314999999999E-5</v>
      </c>
      <c r="E11">
        <v>1.0593396999999999E-2</v>
      </c>
      <c r="F11">
        <v>7.6036999999999993E-2</v>
      </c>
      <c r="G11" t="s">
        <v>24</v>
      </c>
      <c r="I11">
        <f t="shared" si="3"/>
        <v>0.215097753685</v>
      </c>
      <c r="J11">
        <f t="shared" si="1"/>
        <v>1.0501150684999998E-2</v>
      </c>
      <c r="K11">
        <f t="shared" si="4"/>
        <v>7.5944753684999991E-2</v>
      </c>
      <c r="M11" t="s">
        <v>0</v>
      </c>
      <c r="N11" s="10">
        <f t="array" ref="N11:P11">LINEST(I546:I725,J546:K725,1,1)</f>
        <v>1.4490178221886063</v>
      </c>
      <c r="O11" s="10">
        <v>0.20180384686061742</v>
      </c>
      <c r="P11" s="3">
        <v>-6.3869392057145707E-3</v>
      </c>
    </row>
    <row r="12" spans="1:16" x14ac:dyDescent="0.35">
      <c r="A12" t="s">
        <v>33</v>
      </c>
      <c r="B12">
        <v>89692</v>
      </c>
      <c r="C12">
        <v>-9.1146000000000005E-2</v>
      </c>
      <c r="D12" s="5">
        <v>8.5793734000000005E-5</v>
      </c>
      <c r="E12">
        <v>-1.3740894999999999E-2</v>
      </c>
      <c r="F12">
        <v>-6.424E-3</v>
      </c>
      <c r="G12" t="s">
        <v>24</v>
      </c>
      <c r="I12">
        <f t="shared" si="3"/>
        <v>-9.1231793734000005E-2</v>
      </c>
      <c r="J12">
        <f t="shared" si="1"/>
        <v>-1.3826688734E-2</v>
      </c>
      <c r="K12">
        <f t="shared" si="4"/>
        <v>-6.5097937340000004E-3</v>
      </c>
      <c r="N12" s="10"/>
      <c r="O12" s="10"/>
      <c r="P12" s="3"/>
    </row>
    <row r="13" spans="1:16" x14ac:dyDescent="0.35">
      <c r="A13" t="s">
        <v>34</v>
      </c>
      <c r="B13">
        <v>89692</v>
      </c>
      <c r="C13">
        <v>8.0228999999999995E-2</v>
      </c>
      <c r="D13" s="5">
        <v>1.0221382E-4</v>
      </c>
      <c r="E13">
        <v>3.4165464E-2</v>
      </c>
      <c r="F13">
        <v>5.8189999999999999E-2</v>
      </c>
      <c r="G13" t="s">
        <v>24</v>
      </c>
      <c r="I13">
        <f t="shared" si="3"/>
        <v>8.0126786179999993E-2</v>
      </c>
      <c r="J13">
        <f t="shared" si="1"/>
        <v>3.4063250179999997E-2</v>
      </c>
      <c r="K13">
        <f t="shared" si="4"/>
        <v>5.8087786179999996E-2</v>
      </c>
      <c r="M13" t="s">
        <v>17</v>
      </c>
      <c r="N13" s="10">
        <f t="array" ref="N13:P13">LINEST(I727:I906,J727:K906,1,1)</f>
        <v>-7.2202414030232351E-2</v>
      </c>
      <c r="O13" s="10">
        <v>1.0789648321287233</v>
      </c>
      <c r="P13" s="3">
        <v>2.1033320031754656E-2</v>
      </c>
    </row>
    <row r="14" spans="1:16" x14ac:dyDescent="0.35">
      <c r="A14" t="s">
        <v>35</v>
      </c>
      <c r="B14">
        <v>89692</v>
      </c>
      <c r="C14">
        <v>0.22281200000000001</v>
      </c>
      <c r="D14" s="5">
        <v>1.0811459E-4</v>
      </c>
      <c r="E14">
        <v>3.4972754999999999E-3</v>
      </c>
      <c r="F14">
        <v>5.0508999999999998E-2</v>
      </c>
      <c r="G14" t="s">
        <v>24</v>
      </c>
      <c r="I14">
        <f t="shared" si="3"/>
        <v>0.22270388541</v>
      </c>
      <c r="J14">
        <f t="shared" si="1"/>
        <v>3.3891609099999998E-3</v>
      </c>
      <c r="K14">
        <f t="shared" si="4"/>
        <v>5.0400885409999999E-2</v>
      </c>
      <c r="M14" t="s">
        <v>15</v>
      </c>
      <c r="N14" s="10">
        <f t="array" ref="N14:P14">LINEST(I908:I1087,J908:K1087,1,1)</f>
        <v>-0.22852012964034624</v>
      </c>
      <c r="O14" s="10">
        <v>0.92281115400556313</v>
      </c>
      <c r="P14" s="3">
        <v>8.7546033444351606E-3</v>
      </c>
    </row>
    <row r="15" spans="1:16" x14ac:dyDescent="0.35">
      <c r="A15" t="s">
        <v>36</v>
      </c>
      <c r="B15">
        <v>89692</v>
      </c>
      <c r="C15">
        <v>0.25162699999999999</v>
      </c>
      <c r="D15" s="5">
        <v>1.0946717E-4</v>
      </c>
      <c r="E15">
        <v>4.0057152999999998E-2</v>
      </c>
      <c r="F15">
        <v>9.9263000000000004E-2</v>
      </c>
      <c r="G15" t="s">
        <v>24</v>
      </c>
      <c r="I15">
        <f t="shared" si="3"/>
        <v>0.25151753283</v>
      </c>
      <c r="J15">
        <f t="shared" si="1"/>
        <v>3.9947685829999996E-2</v>
      </c>
      <c r="K15">
        <f t="shared" si="4"/>
        <v>9.9153532830000002E-2</v>
      </c>
      <c r="M15" t="s">
        <v>13</v>
      </c>
      <c r="N15" s="10">
        <f t="array" ref="N15:P15">LINEST(I1089:I1268,J1089:K1268,1,1)</f>
        <v>-7.4972845903068935E-2</v>
      </c>
      <c r="O15" s="10">
        <v>0.97926956995121106</v>
      </c>
      <c r="P15" s="3">
        <v>3.6422635069788124E-3</v>
      </c>
    </row>
    <row r="16" spans="1:16" x14ac:dyDescent="0.35">
      <c r="A16" t="s">
        <v>37</v>
      </c>
      <c r="B16">
        <v>89692</v>
      </c>
      <c r="C16">
        <v>-0.20277300000000001</v>
      </c>
      <c r="D16" s="5">
        <v>1.1473459E-4</v>
      </c>
      <c r="E16">
        <v>-1.6283552E-3</v>
      </c>
      <c r="F16">
        <v>-1.1110999999999999E-2</v>
      </c>
      <c r="G16" t="s">
        <v>24</v>
      </c>
      <c r="I16">
        <f t="shared" si="3"/>
        <v>-0.20288773459000001</v>
      </c>
      <c r="J16">
        <f t="shared" si="1"/>
        <v>-1.7430897900000001E-3</v>
      </c>
      <c r="K16">
        <f t="shared" si="4"/>
        <v>-1.122573459E-2</v>
      </c>
      <c r="M16" t="s">
        <v>20</v>
      </c>
      <c r="N16" s="10">
        <f t="array" ref="N16:P16">LINEST(I1270:I1449,J1270:K1449,1,1)</f>
        <v>-0.29671309619696007</v>
      </c>
      <c r="O16" s="10">
        <v>0.94638184327063801</v>
      </c>
      <c r="P16" s="3">
        <v>5.2985282657371739E-3</v>
      </c>
    </row>
    <row r="17" spans="1:16" x14ac:dyDescent="0.35">
      <c r="A17" t="s">
        <v>38</v>
      </c>
      <c r="B17">
        <v>89692</v>
      </c>
      <c r="C17">
        <v>0.18804399999999999</v>
      </c>
      <c r="D17" s="5">
        <v>1.2225505E-4</v>
      </c>
      <c r="E17">
        <v>1.8970178000000001E-2</v>
      </c>
      <c r="F17">
        <v>3.6205000000000001E-2</v>
      </c>
      <c r="G17" t="s">
        <v>24</v>
      </c>
      <c r="I17">
        <f t="shared" si="3"/>
        <v>0.18792174495</v>
      </c>
      <c r="J17">
        <f t="shared" si="1"/>
        <v>1.8847922950000002E-2</v>
      </c>
      <c r="K17">
        <f t="shared" si="4"/>
        <v>3.6082744950000002E-2</v>
      </c>
    </row>
    <row r="18" spans="1:16" x14ac:dyDescent="0.35">
      <c r="A18" t="s">
        <v>39</v>
      </c>
      <c r="B18">
        <v>89692</v>
      </c>
      <c r="C18">
        <v>0.120768</v>
      </c>
      <c r="D18" s="5">
        <v>1.2702313E-4</v>
      </c>
      <c r="E18">
        <v>1.3077589000000001E-2</v>
      </c>
      <c r="F18">
        <v>0.12031</v>
      </c>
      <c r="G18" t="s">
        <v>24</v>
      </c>
      <c r="I18">
        <f t="shared" si="3"/>
        <v>0.12064097687</v>
      </c>
      <c r="J18">
        <f t="shared" si="1"/>
        <v>1.295056587E-2</v>
      </c>
      <c r="K18">
        <f t="shared" si="4"/>
        <v>0.12018297687</v>
      </c>
    </row>
    <row r="19" spans="1:16" x14ac:dyDescent="0.35">
      <c r="A19" t="s">
        <v>40</v>
      </c>
      <c r="B19">
        <v>89692</v>
      </c>
      <c r="C19">
        <v>-0.102857</v>
      </c>
      <c r="D19" s="5">
        <v>1.2549012999999999E-4</v>
      </c>
      <c r="E19">
        <v>-3.10251E-2</v>
      </c>
      <c r="F19">
        <v>-1.3212E-2</v>
      </c>
      <c r="G19" t="s">
        <v>24</v>
      </c>
      <c r="I19">
        <f t="shared" si="3"/>
        <v>-0.10298249013000001</v>
      </c>
      <c r="J19">
        <f t="shared" si="1"/>
        <v>-3.1150590129999999E-2</v>
      </c>
      <c r="K19">
        <f t="shared" si="4"/>
        <v>-1.3337490129999999E-2</v>
      </c>
      <c r="M19" s="11" t="s">
        <v>225</v>
      </c>
      <c r="N19" s="12">
        <f>AVERAGE(N8:N11)</f>
        <v>1.751020411818786</v>
      </c>
      <c r="O19" s="12">
        <f t="shared" ref="O19:P19" si="5">AVERAGE(O8:O11)</f>
        <v>0.18936310925144212</v>
      </c>
      <c r="P19" s="13">
        <f t="shared" si="5"/>
        <v>-7.6530769861253515E-3</v>
      </c>
    </row>
    <row r="20" spans="1:16" x14ac:dyDescent="0.35">
      <c r="A20" t="s">
        <v>41</v>
      </c>
      <c r="B20">
        <v>89692</v>
      </c>
      <c r="C20">
        <v>-9.0989999999999994E-3</v>
      </c>
      <c r="D20" s="5">
        <v>1.2976839000000001E-4</v>
      </c>
      <c r="E20">
        <v>-3.1822989999999999E-4</v>
      </c>
      <c r="F20">
        <v>-4.6706999999999999E-2</v>
      </c>
      <c r="G20" t="s">
        <v>24</v>
      </c>
      <c r="I20">
        <f t="shared" si="3"/>
        <v>-9.2287683899999993E-3</v>
      </c>
      <c r="J20">
        <f t="shared" si="1"/>
        <v>-4.4799829E-4</v>
      </c>
      <c r="K20">
        <f t="shared" si="4"/>
        <v>-4.6836768389999998E-2</v>
      </c>
      <c r="M20" s="11" t="s">
        <v>226</v>
      </c>
      <c r="N20" s="12">
        <f>AVERAGE(N13:N16)</f>
        <v>-0.16810212144265191</v>
      </c>
      <c r="O20" s="12">
        <f t="shared" ref="O20:P20" si="6">AVERAGE(O13:O16)</f>
        <v>0.98185684983903387</v>
      </c>
      <c r="P20" s="13">
        <f t="shared" si="6"/>
        <v>9.6821787872264503E-3</v>
      </c>
    </row>
    <row r="21" spans="1:16" x14ac:dyDescent="0.35">
      <c r="A21" t="s">
        <v>42</v>
      </c>
      <c r="B21">
        <v>89692</v>
      </c>
      <c r="C21">
        <v>6.3361000000000001E-2</v>
      </c>
      <c r="D21" s="5">
        <v>1.2228312999999999E-4</v>
      </c>
      <c r="E21">
        <v>-9.6833464000000008E-3</v>
      </c>
      <c r="F21">
        <v>3.1521E-2</v>
      </c>
      <c r="G21" t="s">
        <v>24</v>
      </c>
      <c r="I21">
        <f t="shared" si="3"/>
        <v>6.3238716870000003E-2</v>
      </c>
      <c r="J21">
        <f t="shared" si="1"/>
        <v>-9.8056295300000002E-3</v>
      </c>
      <c r="K21">
        <f t="shared" si="4"/>
        <v>3.1398716870000003E-2</v>
      </c>
    </row>
    <row r="22" spans="1:16" x14ac:dyDescent="0.35">
      <c r="A22" t="s">
        <v>43</v>
      </c>
      <c r="B22">
        <v>89692</v>
      </c>
      <c r="C22">
        <v>0.21070800000000001</v>
      </c>
      <c r="D22" s="5">
        <v>1.3703064E-4</v>
      </c>
      <c r="E22">
        <v>2.5151808000000001E-2</v>
      </c>
      <c r="F22">
        <v>-1.3775000000000001E-2</v>
      </c>
      <c r="G22" t="s">
        <v>24</v>
      </c>
      <c r="I22">
        <f t="shared" si="3"/>
        <v>0.21057096936</v>
      </c>
      <c r="J22">
        <f t="shared" si="1"/>
        <v>2.501477736E-2</v>
      </c>
      <c r="K22">
        <f t="shared" si="4"/>
        <v>-1.3912030640000001E-2</v>
      </c>
    </row>
    <row r="23" spans="1:16" x14ac:dyDescent="0.35">
      <c r="A23" t="s">
        <v>44</v>
      </c>
      <c r="B23">
        <v>89692</v>
      </c>
      <c r="C23">
        <v>-0.10699</v>
      </c>
      <c r="D23" s="5">
        <v>1.3985681000000001E-4</v>
      </c>
      <c r="E23">
        <v>1.9410975E-2</v>
      </c>
      <c r="F23">
        <v>-4.5272E-2</v>
      </c>
      <c r="G23" t="s">
        <v>24</v>
      </c>
      <c r="I23">
        <f t="shared" si="3"/>
        <v>-0.10712985681000001</v>
      </c>
      <c r="J23">
        <f t="shared" si="1"/>
        <v>1.9271118190000002E-2</v>
      </c>
      <c r="K23">
        <f t="shared" si="4"/>
        <v>-4.5411856809999998E-2</v>
      </c>
    </row>
    <row r="24" spans="1:16" x14ac:dyDescent="0.35">
      <c r="A24" t="s">
        <v>45</v>
      </c>
      <c r="B24">
        <v>89692</v>
      </c>
      <c r="C24">
        <v>5.4313E-2</v>
      </c>
      <c r="D24" s="5">
        <v>1.2507204999999999E-4</v>
      </c>
      <c r="E24">
        <v>3.4900713999999999E-2</v>
      </c>
      <c r="F24">
        <v>1.2947999999999999E-2</v>
      </c>
      <c r="G24" t="s">
        <v>24</v>
      </c>
      <c r="I24">
        <f t="shared" si="3"/>
        <v>5.4187927949999999E-2</v>
      </c>
      <c r="J24">
        <f t="shared" si="1"/>
        <v>3.4775641949999998E-2</v>
      </c>
      <c r="K24">
        <f t="shared" si="4"/>
        <v>1.282292795E-2</v>
      </c>
    </row>
    <row r="25" spans="1:16" x14ac:dyDescent="0.35">
      <c r="A25" t="s">
        <v>46</v>
      </c>
      <c r="B25">
        <v>89692</v>
      </c>
      <c r="C25">
        <v>-5.0757999999999998E-2</v>
      </c>
      <c r="D25" s="5">
        <v>1.4148996E-4</v>
      </c>
      <c r="E25">
        <v>2.5525862E-2</v>
      </c>
      <c r="F25">
        <v>6.8890999999999994E-2</v>
      </c>
      <c r="G25" t="s">
        <v>24</v>
      </c>
      <c r="I25">
        <f t="shared" si="3"/>
        <v>-5.0899489959999995E-2</v>
      </c>
      <c r="J25">
        <f t="shared" si="1"/>
        <v>2.5384372039999999E-2</v>
      </c>
      <c r="K25">
        <f t="shared" si="4"/>
        <v>6.8749510039999989E-2</v>
      </c>
    </row>
    <row r="26" spans="1:16" x14ac:dyDescent="0.35">
      <c r="A26" t="s">
        <v>47</v>
      </c>
      <c r="B26">
        <v>89692</v>
      </c>
      <c r="C26">
        <v>-5.1874999999999998E-2</v>
      </c>
      <c r="D26" s="5">
        <v>1.4320338999999999E-4</v>
      </c>
      <c r="E26">
        <v>1.0861081E-2</v>
      </c>
      <c r="F26">
        <v>-1.8325999999999999E-2</v>
      </c>
      <c r="G26" t="s">
        <v>24</v>
      </c>
      <c r="I26">
        <f t="shared" si="3"/>
        <v>-5.2018203389999997E-2</v>
      </c>
      <c r="J26">
        <f t="shared" si="1"/>
        <v>1.0717877609999999E-2</v>
      </c>
      <c r="K26">
        <f t="shared" si="4"/>
        <v>-1.8469203389999998E-2</v>
      </c>
    </row>
    <row r="27" spans="1:16" x14ac:dyDescent="0.35">
      <c r="A27" t="s">
        <v>48</v>
      </c>
      <c r="B27">
        <v>89692</v>
      </c>
      <c r="C27">
        <v>0.119529</v>
      </c>
      <c r="D27" s="5">
        <v>1.2932273999999999E-4</v>
      </c>
      <c r="E27">
        <v>1.9592070999999999E-2</v>
      </c>
      <c r="F27">
        <v>2.5628999999999999E-2</v>
      </c>
      <c r="G27" t="s">
        <v>24</v>
      </c>
      <c r="I27">
        <f t="shared" si="3"/>
        <v>0.11939967725999999</v>
      </c>
      <c r="J27">
        <f t="shared" si="1"/>
        <v>1.9462748259999999E-2</v>
      </c>
      <c r="K27">
        <f t="shared" si="4"/>
        <v>2.5499677259999999E-2</v>
      </c>
    </row>
    <row r="28" spans="1:16" x14ac:dyDescent="0.35">
      <c r="A28" t="s">
        <v>49</v>
      </c>
      <c r="B28">
        <v>89692</v>
      </c>
      <c r="C28">
        <v>5.8646999999999998E-2</v>
      </c>
      <c r="D28" s="5">
        <v>1.3506156E-4</v>
      </c>
      <c r="E28">
        <v>-1.4020795000000001E-2</v>
      </c>
      <c r="F28">
        <v>2.5451000000000001E-2</v>
      </c>
      <c r="G28" t="s">
        <v>24</v>
      </c>
      <c r="I28">
        <f t="shared" si="3"/>
        <v>5.8511938440000001E-2</v>
      </c>
      <c r="J28">
        <f t="shared" si="1"/>
        <v>-1.4155856560000001E-2</v>
      </c>
      <c r="K28">
        <f t="shared" si="4"/>
        <v>2.5315938440000001E-2</v>
      </c>
    </row>
    <row r="29" spans="1:16" x14ac:dyDescent="0.35">
      <c r="A29" t="s">
        <v>50</v>
      </c>
      <c r="B29">
        <v>89692</v>
      </c>
      <c r="C29">
        <v>-2.0597000000000001E-2</v>
      </c>
      <c r="D29" s="5">
        <v>1.4202721999999999E-4</v>
      </c>
      <c r="E29">
        <v>1.2952416E-2</v>
      </c>
      <c r="F29">
        <v>-1.1131E-2</v>
      </c>
      <c r="G29" t="s">
        <v>24</v>
      </c>
      <c r="I29">
        <f t="shared" si="3"/>
        <v>-2.0739027220000001E-2</v>
      </c>
      <c r="J29">
        <f t="shared" si="1"/>
        <v>1.2810388779999999E-2</v>
      </c>
      <c r="K29">
        <f t="shared" si="4"/>
        <v>-1.1273027220000001E-2</v>
      </c>
    </row>
    <row r="30" spans="1:16" x14ac:dyDescent="0.35">
      <c r="A30" t="s">
        <v>51</v>
      </c>
      <c r="B30">
        <v>89692</v>
      </c>
      <c r="C30">
        <v>-3.3357999999999999E-2</v>
      </c>
      <c r="D30" s="5">
        <v>1.3845289999999999E-4</v>
      </c>
      <c r="E30">
        <v>3.9758044999999999E-2</v>
      </c>
      <c r="F30">
        <v>2.0535000000000001E-2</v>
      </c>
      <c r="G30" t="s">
        <v>24</v>
      </c>
      <c r="I30">
        <f t="shared" si="3"/>
        <v>-3.3496452900000001E-2</v>
      </c>
      <c r="J30">
        <f t="shared" si="1"/>
        <v>3.9619592099999996E-2</v>
      </c>
      <c r="K30">
        <f t="shared" si="4"/>
        <v>2.0396547100000002E-2</v>
      </c>
    </row>
    <row r="31" spans="1:16" x14ac:dyDescent="0.35">
      <c r="A31" t="s">
        <v>52</v>
      </c>
      <c r="B31">
        <v>89692</v>
      </c>
      <c r="C31">
        <v>7.5000000000000002E-4</v>
      </c>
      <c r="D31" s="5">
        <v>1.3034255E-4</v>
      </c>
      <c r="E31">
        <v>3.8909490999999997E-2</v>
      </c>
      <c r="F31">
        <v>-2.3102999999999999E-2</v>
      </c>
      <c r="G31" t="s">
        <v>24</v>
      </c>
      <c r="I31">
        <f t="shared" si="3"/>
        <v>6.1965744999999996E-4</v>
      </c>
      <c r="J31">
        <f t="shared" si="1"/>
        <v>3.8779148449999995E-2</v>
      </c>
      <c r="K31">
        <f t="shared" si="4"/>
        <v>-2.3233342549999998E-2</v>
      </c>
    </row>
    <row r="32" spans="1:16" x14ac:dyDescent="0.35">
      <c r="A32" t="s">
        <v>53</v>
      </c>
      <c r="B32">
        <v>89692</v>
      </c>
      <c r="C32">
        <v>-0.12443800000000001</v>
      </c>
      <c r="D32" s="5">
        <v>1.3037657E-4</v>
      </c>
      <c r="E32">
        <v>-1.4821285E-2</v>
      </c>
      <c r="F32">
        <v>-1.9377999999999999E-2</v>
      </c>
      <c r="G32" t="s">
        <v>24</v>
      </c>
      <c r="I32">
        <f t="shared" si="3"/>
        <v>-0.12456837657</v>
      </c>
      <c r="J32">
        <f t="shared" si="1"/>
        <v>-1.495166157E-2</v>
      </c>
      <c r="K32">
        <f t="shared" si="4"/>
        <v>-1.9508376569999999E-2</v>
      </c>
    </row>
    <row r="33" spans="1:11" x14ac:dyDescent="0.35">
      <c r="A33" t="s">
        <v>54</v>
      </c>
      <c r="B33">
        <v>89692</v>
      </c>
      <c r="C33">
        <v>0.111301</v>
      </c>
      <c r="D33" s="5">
        <v>1.1670869E-4</v>
      </c>
      <c r="E33">
        <v>-3.1721417000000002E-2</v>
      </c>
      <c r="F33">
        <v>2.3650000000000001E-2</v>
      </c>
      <c r="G33" t="s">
        <v>24</v>
      </c>
      <c r="I33">
        <f t="shared" si="3"/>
        <v>0.11118429131</v>
      </c>
      <c r="J33">
        <f t="shared" si="1"/>
        <v>-3.1838125690000003E-2</v>
      </c>
      <c r="K33">
        <f t="shared" si="4"/>
        <v>2.3533291309999999E-2</v>
      </c>
    </row>
    <row r="34" spans="1:11" x14ac:dyDescent="0.35">
      <c r="A34" t="s">
        <v>55</v>
      </c>
      <c r="B34">
        <v>89692</v>
      </c>
      <c r="C34">
        <v>-5.8552E-2</v>
      </c>
      <c r="D34" s="5">
        <v>1.3702123999999999E-4</v>
      </c>
      <c r="E34">
        <v>1.169362E-2</v>
      </c>
      <c r="F34">
        <v>1.1096E-2</v>
      </c>
      <c r="G34" t="s">
        <v>24</v>
      </c>
      <c r="I34">
        <f t="shared" si="3"/>
        <v>-5.868902124E-2</v>
      </c>
      <c r="J34">
        <f t="shared" si="1"/>
        <v>1.155659876E-2</v>
      </c>
      <c r="K34">
        <f t="shared" si="4"/>
        <v>1.095897876E-2</v>
      </c>
    </row>
    <row r="35" spans="1:11" x14ac:dyDescent="0.35">
      <c r="A35" t="s">
        <v>56</v>
      </c>
      <c r="B35">
        <v>89692</v>
      </c>
      <c r="C35">
        <v>0.225859</v>
      </c>
      <c r="D35" s="5">
        <v>1.1455195999999999E-4</v>
      </c>
      <c r="E35">
        <v>4.0834490000000001E-2</v>
      </c>
      <c r="F35">
        <v>0.10508099999999999</v>
      </c>
      <c r="G35" t="s">
        <v>24</v>
      </c>
      <c r="I35">
        <f t="shared" si="3"/>
        <v>0.22574444804000002</v>
      </c>
      <c r="J35">
        <f t="shared" si="1"/>
        <v>4.0719938040000001E-2</v>
      </c>
      <c r="K35">
        <f t="shared" si="4"/>
        <v>0.10496644803999999</v>
      </c>
    </row>
    <row r="36" spans="1:11" x14ac:dyDescent="0.35">
      <c r="A36" t="s">
        <v>57</v>
      </c>
      <c r="B36">
        <v>89692</v>
      </c>
      <c r="C36">
        <v>0.31375199999999998</v>
      </c>
      <c r="D36" s="5">
        <v>9.2476468E-5</v>
      </c>
      <c r="E36">
        <v>2.8808464999999998E-2</v>
      </c>
      <c r="F36">
        <v>6.9514000000000006E-2</v>
      </c>
      <c r="G36" t="s">
        <v>24</v>
      </c>
      <c r="I36">
        <f t="shared" si="3"/>
        <v>0.313659523532</v>
      </c>
      <c r="J36">
        <f t="shared" si="1"/>
        <v>2.8715988531999997E-2</v>
      </c>
      <c r="K36">
        <f t="shared" si="4"/>
        <v>6.9421523532000012E-2</v>
      </c>
    </row>
    <row r="37" spans="1:11" x14ac:dyDescent="0.35">
      <c r="A37" t="s">
        <v>58</v>
      </c>
      <c r="B37">
        <v>89692</v>
      </c>
      <c r="C37">
        <v>-0.118394</v>
      </c>
      <c r="D37" s="5">
        <v>1.066585E-4</v>
      </c>
      <c r="E37">
        <v>-3.5230382999999997E-2</v>
      </c>
      <c r="F37">
        <v>-1.6535000000000001E-2</v>
      </c>
      <c r="G37" t="s">
        <v>24</v>
      </c>
      <c r="I37">
        <f t="shared" si="3"/>
        <v>-0.11850065849999999</v>
      </c>
      <c r="J37">
        <f t="shared" si="1"/>
        <v>-3.5337041499999999E-2</v>
      </c>
      <c r="K37">
        <f t="shared" si="4"/>
        <v>-1.66416585E-2</v>
      </c>
    </row>
    <row r="38" spans="1:11" x14ac:dyDescent="0.35">
      <c r="A38" t="s">
        <v>59</v>
      </c>
      <c r="B38">
        <v>89692</v>
      </c>
      <c r="C38">
        <v>6.0519000000000003E-2</v>
      </c>
      <c r="D38" s="5">
        <v>1.0027451E-4</v>
      </c>
      <c r="E38">
        <v>-4.3625202999999996E-3</v>
      </c>
      <c r="F38">
        <v>6.6476999999999994E-2</v>
      </c>
      <c r="G38" t="s">
        <v>24</v>
      </c>
      <c r="I38">
        <f t="shared" si="3"/>
        <v>6.0418725490000005E-2</v>
      </c>
      <c r="J38">
        <f t="shared" si="1"/>
        <v>-4.4627948099999993E-3</v>
      </c>
      <c r="K38">
        <f t="shared" si="4"/>
        <v>6.6376725489999996E-2</v>
      </c>
    </row>
    <row r="39" spans="1:11" x14ac:dyDescent="0.35">
      <c r="A39" t="s">
        <v>60</v>
      </c>
      <c r="B39">
        <v>89692</v>
      </c>
      <c r="C39">
        <v>0.20163</v>
      </c>
      <c r="D39" s="5">
        <v>7.2702277999999997E-5</v>
      </c>
      <c r="E39">
        <v>-6.2072418999999997E-2</v>
      </c>
      <c r="F39">
        <v>0.108416</v>
      </c>
      <c r="G39" t="s">
        <v>24</v>
      </c>
      <c r="I39">
        <f t="shared" si="3"/>
        <v>0.20155729772200001</v>
      </c>
      <c r="J39">
        <f t="shared" si="1"/>
        <v>-6.2145121277999996E-2</v>
      </c>
      <c r="K39">
        <f t="shared" si="4"/>
        <v>0.10834329772199999</v>
      </c>
    </row>
    <row r="40" spans="1:11" x14ac:dyDescent="0.35">
      <c r="A40" t="s">
        <v>61</v>
      </c>
      <c r="B40">
        <v>89692</v>
      </c>
      <c r="C40">
        <v>0.12166399999999999</v>
      </c>
      <c r="D40" s="5">
        <v>4.3220585000000003E-5</v>
      </c>
      <c r="E40">
        <v>-2.1622278000000002E-2</v>
      </c>
      <c r="F40">
        <v>5.2297999999999997E-2</v>
      </c>
      <c r="G40" t="s">
        <v>24</v>
      </c>
      <c r="I40">
        <f t="shared" si="3"/>
        <v>0.12162077941499999</v>
      </c>
      <c r="J40">
        <f t="shared" si="1"/>
        <v>-2.1665498585000002E-2</v>
      </c>
      <c r="K40">
        <f t="shared" si="4"/>
        <v>5.2254779414999994E-2</v>
      </c>
    </row>
    <row r="41" spans="1:11" x14ac:dyDescent="0.35">
      <c r="A41" t="s">
        <v>62</v>
      </c>
      <c r="B41">
        <v>89692</v>
      </c>
      <c r="C41">
        <v>-0.10685500000000001</v>
      </c>
      <c r="D41" s="5">
        <v>5.6849163000000003E-5</v>
      </c>
      <c r="E41">
        <v>-1.0335677999999999E-2</v>
      </c>
      <c r="F41">
        <v>-5.9991999999999997E-2</v>
      </c>
      <c r="G41" t="s">
        <v>24</v>
      </c>
      <c r="I41">
        <f t="shared" si="3"/>
        <v>-0.10691184916300001</v>
      </c>
      <c r="J41">
        <f t="shared" si="1"/>
        <v>-1.0392527162999999E-2</v>
      </c>
      <c r="K41">
        <f t="shared" si="4"/>
        <v>-6.0048849162999997E-2</v>
      </c>
    </row>
    <row r="42" spans="1:11" x14ac:dyDescent="0.35">
      <c r="A42" t="s">
        <v>63</v>
      </c>
      <c r="B42">
        <v>89692</v>
      </c>
      <c r="C42">
        <v>-0.144731</v>
      </c>
      <c r="D42" s="5">
        <v>3.2929674E-5</v>
      </c>
      <c r="E42">
        <v>5.1065567999999999E-2</v>
      </c>
      <c r="F42">
        <v>-4.1588E-2</v>
      </c>
      <c r="G42" t="s">
        <v>24</v>
      </c>
      <c r="I42">
        <f t="shared" si="3"/>
        <v>-0.14476392967400001</v>
      </c>
      <c r="J42">
        <f t="shared" si="1"/>
        <v>5.1032638325999996E-2</v>
      </c>
      <c r="K42">
        <f t="shared" si="4"/>
        <v>-4.1620929674000003E-2</v>
      </c>
    </row>
    <row r="43" spans="1:11" x14ac:dyDescent="0.35">
      <c r="A43" t="s">
        <v>64</v>
      </c>
      <c r="B43">
        <v>89692</v>
      </c>
      <c r="C43">
        <v>5.6055000000000001E-2</v>
      </c>
      <c r="D43" s="5">
        <v>2.903705E-5</v>
      </c>
      <c r="E43">
        <v>2.3818125999999998E-2</v>
      </c>
      <c r="F43">
        <v>9.2320000000000006E-3</v>
      </c>
      <c r="G43" t="s">
        <v>24</v>
      </c>
      <c r="I43">
        <f t="shared" si="3"/>
        <v>5.6025962950000001E-2</v>
      </c>
      <c r="J43">
        <f t="shared" si="1"/>
        <v>2.3789088949999999E-2</v>
      </c>
      <c r="K43">
        <f t="shared" si="4"/>
        <v>9.2029629500000008E-3</v>
      </c>
    </row>
    <row r="44" spans="1:11" x14ac:dyDescent="0.35">
      <c r="A44" t="s">
        <v>65</v>
      </c>
      <c r="B44">
        <v>89692</v>
      </c>
      <c r="C44">
        <v>0.18227299999999999</v>
      </c>
      <c r="D44" s="5">
        <v>5.4623592999999997E-5</v>
      </c>
      <c r="E44">
        <v>-7.8533299000000001E-2</v>
      </c>
      <c r="F44">
        <v>4.5169000000000001E-2</v>
      </c>
      <c r="G44" t="s">
        <v>24</v>
      </c>
      <c r="I44">
        <f t="shared" si="3"/>
        <v>0.18221837640699998</v>
      </c>
      <c r="J44">
        <f t="shared" si="1"/>
        <v>-7.8587922593000001E-2</v>
      </c>
      <c r="K44">
        <f t="shared" si="4"/>
        <v>4.5114376407000001E-2</v>
      </c>
    </row>
    <row r="45" spans="1:11" x14ac:dyDescent="0.35">
      <c r="A45" t="s">
        <v>66</v>
      </c>
      <c r="B45">
        <v>89692</v>
      </c>
      <c r="C45">
        <v>-0.23125799999999999</v>
      </c>
      <c r="D45" s="5">
        <v>4.1826541000000002E-5</v>
      </c>
      <c r="E45">
        <v>-1.3053237000000001E-2</v>
      </c>
      <c r="F45">
        <v>-1.4442E-2</v>
      </c>
      <c r="G45" t="s">
        <v>24</v>
      </c>
      <c r="I45">
        <f t="shared" si="3"/>
        <v>-0.23129982654099998</v>
      </c>
      <c r="J45">
        <f t="shared" si="1"/>
        <v>-1.3095063541000001E-2</v>
      </c>
      <c r="K45">
        <f t="shared" si="4"/>
        <v>-1.4483826541E-2</v>
      </c>
    </row>
    <row r="46" spans="1:11" x14ac:dyDescent="0.35">
      <c r="A46" t="s">
        <v>67</v>
      </c>
      <c r="B46">
        <v>89692</v>
      </c>
      <c r="C46">
        <v>-9.3663999999999997E-2</v>
      </c>
      <c r="D46" s="5">
        <v>4.1830043999999998E-5</v>
      </c>
      <c r="E46">
        <v>1.0535574000000001E-2</v>
      </c>
      <c r="F46">
        <v>-9.2917E-2</v>
      </c>
      <c r="G46" t="s">
        <v>24</v>
      </c>
      <c r="I46">
        <f t="shared" si="3"/>
        <v>-9.3705830044000002E-2</v>
      </c>
      <c r="J46">
        <f t="shared" si="1"/>
        <v>1.0493743956000001E-2</v>
      </c>
      <c r="K46">
        <f t="shared" si="4"/>
        <v>-9.2958830044000004E-2</v>
      </c>
    </row>
    <row r="47" spans="1:11" x14ac:dyDescent="0.35">
      <c r="A47" t="s">
        <v>68</v>
      </c>
      <c r="B47">
        <v>89692</v>
      </c>
      <c r="C47">
        <v>-1.7628999999999999E-2</v>
      </c>
      <c r="D47" s="5">
        <v>4.4332078999999998E-5</v>
      </c>
      <c r="E47">
        <v>-9.8912783000000004E-2</v>
      </c>
      <c r="F47">
        <v>4.1120999999999998E-2</v>
      </c>
      <c r="G47" t="s">
        <v>24</v>
      </c>
      <c r="I47">
        <f t="shared" si="3"/>
        <v>-1.7673332078999997E-2</v>
      </c>
      <c r="J47">
        <f t="shared" si="1"/>
        <v>-9.8957115078999999E-2</v>
      </c>
      <c r="K47">
        <f t="shared" si="4"/>
        <v>4.1076667920999996E-2</v>
      </c>
    </row>
    <row r="48" spans="1:11" x14ac:dyDescent="0.35">
      <c r="A48" t="s">
        <v>69</v>
      </c>
      <c r="B48">
        <v>89692</v>
      </c>
      <c r="C48">
        <v>-0.35297800000000001</v>
      </c>
      <c r="D48" s="5">
        <v>1.54194E-5</v>
      </c>
      <c r="E48">
        <v>-0.26823696000000002</v>
      </c>
      <c r="F48">
        <v>-0.16139700000000001</v>
      </c>
      <c r="G48" t="s">
        <v>24</v>
      </c>
      <c r="I48">
        <f t="shared" si="3"/>
        <v>-0.35299341940000001</v>
      </c>
      <c r="J48">
        <f t="shared" si="1"/>
        <v>-0.26825237940000002</v>
      </c>
      <c r="K48">
        <f t="shared" si="4"/>
        <v>-0.16141241940000001</v>
      </c>
    </row>
    <row r="49" spans="1:11" x14ac:dyDescent="0.35">
      <c r="A49" t="s">
        <v>70</v>
      </c>
      <c r="B49">
        <v>89692</v>
      </c>
      <c r="C49">
        <v>0.41419</v>
      </c>
      <c r="D49" s="5">
        <v>3.4029399E-6</v>
      </c>
      <c r="E49">
        <v>-6.0760938E-2</v>
      </c>
      <c r="F49">
        <v>0.12573599999999999</v>
      </c>
      <c r="G49" t="s">
        <v>24</v>
      </c>
      <c r="I49">
        <f t="shared" si="3"/>
        <v>0.41418659706010003</v>
      </c>
      <c r="J49">
        <f t="shared" si="1"/>
        <v>-6.0764340939899998E-2</v>
      </c>
      <c r="K49">
        <f t="shared" si="4"/>
        <v>0.12573259706009998</v>
      </c>
    </row>
    <row r="50" spans="1:11" x14ac:dyDescent="0.35">
      <c r="A50" t="s">
        <v>71</v>
      </c>
      <c r="B50">
        <v>89692</v>
      </c>
      <c r="C50">
        <v>0.24881400000000001</v>
      </c>
      <c r="D50" s="5">
        <v>9.7223551000000005E-7</v>
      </c>
      <c r="E50">
        <v>2.2324005000000001E-2</v>
      </c>
      <c r="F50">
        <v>7.7325000000000005E-2</v>
      </c>
      <c r="G50" t="s">
        <v>24</v>
      </c>
      <c r="I50">
        <f t="shared" si="3"/>
        <v>0.24881302776449002</v>
      </c>
      <c r="J50">
        <f t="shared" si="1"/>
        <v>2.2323032764490002E-2</v>
      </c>
      <c r="K50">
        <f t="shared" si="4"/>
        <v>7.7324027764490003E-2</v>
      </c>
    </row>
    <row r="51" spans="1:11" x14ac:dyDescent="0.35">
      <c r="A51" t="s">
        <v>72</v>
      </c>
      <c r="B51">
        <v>89692</v>
      </c>
      <c r="C51">
        <v>-4.0174000000000001E-2</v>
      </c>
      <c r="D51" s="5">
        <v>4.1666856999999999E-7</v>
      </c>
      <c r="E51">
        <v>-7.8490331999999996E-2</v>
      </c>
      <c r="F51">
        <v>5.5363000000000002E-2</v>
      </c>
      <c r="G51" t="s">
        <v>24</v>
      </c>
      <c r="I51">
        <f t="shared" si="3"/>
        <v>-4.0174416668570002E-2</v>
      </c>
      <c r="J51">
        <f t="shared" si="1"/>
        <v>-7.849074866856999E-2</v>
      </c>
      <c r="K51">
        <f t="shared" si="4"/>
        <v>5.5362583331430001E-2</v>
      </c>
    </row>
    <row r="52" spans="1:11" x14ac:dyDescent="0.35">
      <c r="A52" t="s">
        <v>73</v>
      </c>
      <c r="B52">
        <v>89692</v>
      </c>
      <c r="C52">
        <v>-0.10746600000000001</v>
      </c>
      <c r="D52" s="5">
        <v>4.1669009000000002E-6</v>
      </c>
      <c r="E52">
        <v>-0.10050758</v>
      </c>
      <c r="F52">
        <v>1.4456E-2</v>
      </c>
      <c r="G52" t="s">
        <v>24</v>
      </c>
      <c r="I52">
        <f t="shared" si="3"/>
        <v>-0.1074701669009</v>
      </c>
      <c r="J52">
        <f t="shared" si="1"/>
        <v>-0.10051174690089999</v>
      </c>
      <c r="K52">
        <f t="shared" si="4"/>
        <v>1.44518330991E-2</v>
      </c>
    </row>
    <row r="53" spans="1:11" x14ac:dyDescent="0.35">
      <c r="A53" t="s">
        <v>74</v>
      </c>
      <c r="B53">
        <v>89692</v>
      </c>
      <c r="C53">
        <v>0.13498099999999999</v>
      </c>
      <c r="D53" s="5">
        <v>4.4447111E-6</v>
      </c>
      <c r="E53">
        <v>8.7015814999999996E-2</v>
      </c>
      <c r="F53">
        <v>-2.537E-2</v>
      </c>
      <c r="G53" t="s">
        <v>24</v>
      </c>
      <c r="I53">
        <f t="shared" si="3"/>
        <v>0.13497655528889999</v>
      </c>
      <c r="J53">
        <f t="shared" si="1"/>
        <v>8.7011370288899992E-2</v>
      </c>
      <c r="K53">
        <f t="shared" si="4"/>
        <v>-2.5374444711100001E-2</v>
      </c>
    </row>
    <row r="54" spans="1:11" x14ac:dyDescent="0.35">
      <c r="A54" t="s">
        <v>75</v>
      </c>
      <c r="B54">
        <v>89692</v>
      </c>
      <c r="C54">
        <v>-0.13542299999999999</v>
      </c>
      <c r="D54" s="5">
        <v>3.7501618E-6</v>
      </c>
      <c r="E54">
        <v>0.10942493</v>
      </c>
      <c r="F54">
        <v>-3.3341000000000003E-2</v>
      </c>
      <c r="G54" t="s">
        <v>24</v>
      </c>
      <c r="I54">
        <f t="shared" si="3"/>
        <v>-0.13542675016179997</v>
      </c>
      <c r="J54">
        <f t="shared" si="1"/>
        <v>0.1094211798382</v>
      </c>
      <c r="K54">
        <f t="shared" si="4"/>
        <v>-3.3344750161800003E-2</v>
      </c>
    </row>
    <row r="55" spans="1:11" x14ac:dyDescent="0.35">
      <c r="A55" t="s">
        <v>76</v>
      </c>
      <c r="B55">
        <v>89692</v>
      </c>
      <c r="C55">
        <v>0.30873800000000001</v>
      </c>
      <c r="D55" s="5">
        <v>1.2500218999999999E-6</v>
      </c>
      <c r="E55">
        <v>6.7855342999999999E-2</v>
      </c>
      <c r="F55">
        <v>0.102326</v>
      </c>
      <c r="G55" t="s">
        <v>24</v>
      </c>
      <c r="I55">
        <f t="shared" si="3"/>
        <v>0.30873674997810002</v>
      </c>
      <c r="J55">
        <f t="shared" si="1"/>
        <v>6.7854092978099995E-2</v>
      </c>
      <c r="K55">
        <f t="shared" si="4"/>
        <v>0.1023247499781</v>
      </c>
    </row>
    <row r="56" spans="1:11" x14ac:dyDescent="0.35">
      <c r="A56" t="s">
        <v>77</v>
      </c>
      <c r="B56">
        <v>89692</v>
      </c>
      <c r="C56">
        <v>-0.10237400000000001</v>
      </c>
      <c r="D56" s="5">
        <v>4.1669009000000002E-6</v>
      </c>
      <c r="E56">
        <v>-3.0959923999999998E-3</v>
      </c>
      <c r="F56">
        <v>-5.2183E-2</v>
      </c>
      <c r="G56" t="s">
        <v>24</v>
      </c>
      <c r="I56">
        <f t="shared" si="3"/>
        <v>-0.1023781669009</v>
      </c>
      <c r="J56">
        <f t="shared" si="1"/>
        <v>-3.1001593008999997E-3</v>
      </c>
      <c r="K56">
        <f t="shared" si="4"/>
        <v>-5.2187166900900001E-2</v>
      </c>
    </row>
    <row r="57" spans="1:11" x14ac:dyDescent="0.35">
      <c r="A57" t="s">
        <v>78</v>
      </c>
      <c r="B57">
        <v>89692</v>
      </c>
      <c r="C57">
        <v>8.2094E-2</v>
      </c>
      <c r="D57" s="5">
        <v>3.472361E-6</v>
      </c>
      <c r="E57">
        <v>8.1810951000000007E-2</v>
      </c>
      <c r="F57">
        <v>2.3799000000000001E-2</v>
      </c>
      <c r="G57" t="s">
        <v>24</v>
      </c>
      <c r="I57">
        <f t="shared" si="3"/>
        <v>8.2090527639000002E-2</v>
      </c>
      <c r="J57">
        <f t="shared" si="1"/>
        <v>8.1807478639000009E-2</v>
      </c>
      <c r="K57">
        <f t="shared" si="4"/>
        <v>2.3795527638999999E-2</v>
      </c>
    </row>
    <row r="58" spans="1:11" x14ac:dyDescent="0.35">
      <c r="A58" t="s">
        <v>79</v>
      </c>
      <c r="B58">
        <v>89692</v>
      </c>
      <c r="C58">
        <v>-3.5131999999999997E-2</v>
      </c>
      <c r="D58" s="5">
        <v>3.7501898E-6</v>
      </c>
      <c r="E58">
        <v>3.1335082E-2</v>
      </c>
      <c r="F58">
        <v>5.3600000000000002E-4</v>
      </c>
      <c r="G58" t="s">
        <v>24</v>
      </c>
      <c r="I58">
        <f t="shared" si="3"/>
        <v>-3.5135750189799995E-2</v>
      </c>
      <c r="J58">
        <f t="shared" si="1"/>
        <v>3.1331331810200001E-2</v>
      </c>
      <c r="K58">
        <f t="shared" si="4"/>
        <v>5.3224981020000002E-4</v>
      </c>
    </row>
    <row r="59" spans="1:11" x14ac:dyDescent="0.35">
      <c r="A59" t="s">
        <v>80</v>
      </c>
      <c r="B59">
        <v>89692</v>
      </c>
      <c r="C59">
        <v>0.147757</v>
      </c>
      <c r="D59" s="5">
        <v>3.4723669000000002E-6</v>
      </c>
      <c r="E59">
        <v>4.5273893000000003E-2</v>
      </c>
      <c r="F59">
        <v>5.8351E-2</v>
      </c>
      <c r="G59" t="s">
        <v>24</v>
      </c>
      <c r="I59">
        <f t="shared" si="3"/>
        <v>0.14775352763310001</v>
      </c>
      <c r="J59">
        <f t="shared" si="1"/>
        <v>4.5270420633100002E-2</v>
      </c>
      <c r="K59">
        <f t="shared" si="4"/>
        <v>5.8347527633099999E-2</v>
      </c>
    </row>
    <row r="60" spans="1:11" x14ac:dyDescent="0.35">
      <c r="A60" t="s">
        <v>81</v>
      </c>
      <c r="B60">
        <v>89692</v>
      </c>
      <c r="C60">
        <v>-0.14377899999999999</v>
      </c>
      <c r="D60" s="5">
        <v>1.2500171000000001E-6</v>
      </c>
      <c r="E60">
        <v>-3.1813566000000001E-2</v>
      </c>
      <c r="F60">
        <v>3.7227999999999997E-2</v>
      </c>
      <c r="G60" t="s">
        <v>24</v>
      </c>
      <c r="I60">
        <f t="shared" si="3"/>
        <v>-0.14378025001709999</v>
      </c>
      <c r="J60">
        <f t="shared" si="1"/>
        <v>-3.1814816017100005E-2</v>
      </c>
      <c r="K60">
        <f t="shared" si="4"/>
        <v>3.7226749982899994E-2</v>
      </c>
    </row>
    <row r="61" spans="1:11" x14ac:dyDescent="0.35">
      <c r="A61" t="s">
        <v>82</v>
      </c>
      <c r="B61">
        <v>89692</v>
      </c>
      <c r="C61">
        <v>7.7503000000000002E-2</v>
      </c>
      <c r="D61" s="5">
        <v>8.3334305000000002E-7</v>
      </c>
      <c r="E61">
        <v>5.1395169999999997E-2</v>
      </c>
      <c r="F61">
        <v>0.12786500000000001</v>
      </c>
      <c r="G61" t="s">
        <v>24</v>
      </c>
      <c r="I61">
        <f t="shared" si="3"/>
        <v>7.7502166656950006E-2</v>
      </c>
      <c r="J61">
        <f t="shared" si="1"/>
        <v>5.139433665695E-2</v>
      </c>
      <c r="K61">
        <f t="shared" si="4"/>
        <v>0.12786416665695</v>
      </c>
    </row>
    <row r="62" spans="1:11" x14ac:dyDescent="0.35">
      <c r="A62" t="s">
        <v>83</v>
      </c>
      <c r="B62">
        <v>89692</v>
      </c>
      <c r="C62">
        <v>-8.0919000000000005E-2</v>
      </c>
      <c r="D62" s="5">
        <v>2.5000749999999999E-6</v>
      </c>
      <c r="E62">
        <v>2.8345333E-2</v>
      </c>
      <c r="F62">
        <v>-7.2034000000000001E-2</v>
      </c>
      <c r="G62" t="s">
        <v>24</v>
      </c>
      <c r="I62">
        <f t="shared" si="3"/>
        <v>-8.0921500075E-2</v>
      </c>
      <c r="J62">
        <f t="shared" si="1"/>
        <v>2.8342832925000002E-2</v>
      </c>
      <c r="K62">
        <f t="shared" si="4"/>
        <v>-7.2036500074999996E-2</v>
      </c>
    </row>
    <row r="63" spans="1:11" x14ac:dyDescent="0.35">
      <c r="A63" t="s">
        <v>84</v>
      </c>
      <c r="B63">
        <v>89692</v>
      </c>
      <c r="C63">
        <v>-0.116304</v>
      </c>
      <c r="D63" s="5">
        <v>1.5278105E-6</v>
      </c>
      <c r="E63">
        <v>-3.7133395999999999E-2</v>
      </c>
      <c r="F63">
        <v>-1.2579999999999999E-2</v>
      </c>
      <c r="G63" t="s">
        <v>24</v>
      </c>
      <c r="I63">
        <f t="shared" si="3"/>
        <v>-0.11630552781050001</v>
      </c>
      <c r="J63">
        <f t="shared" si="1"/>
        <v>-3.7134923810500001E-2</v>
      </c>
      <c r="K63">
        <f t="shared" si="4"/>
        <v>-1.2581527810499999E-2</v>
      </c>
    </row>
    <row r="64" spans="1:11" x14ac:dyDescent="0.35">
      <c r="A64" t="s">
        <v>85</v>
      </c>
      <c r="B64">
        <v>89692</v>
      </c>
      <c r="C64">
        <v>0.11439100000000001</v>
      </c>
      <c r="D64" s="5">
        <v>4.1666901999999998E-7</v>
      </c>
      <c r="E64">
        <v>3.4774009000000002E-2</v>
      </c>
      <c r="F64">
        <v>3.2747999999999999E-2</v>
      </c>
      <c r="G64" t="s">
        <v>24</v>
      </c>
      <c r="I64">
        <f t="shared" si="3"/>
        <v>0.11439058333098001</v>
      </c>
      <c r="J64">
        <f t="shared" si="1"/>
        <v>3.4773592330979999E-2</v>
      </c>
      <c r="K64">
        <f t="shared" si="4"/>
        <v>3.2747583330979997E-2</v>
      </c>
    </row>
    <row r="65" spans="1:11" x14ac:dyDescent="0.35">
      <c r="A65" t="s">
        <v>86</v>
      </c>
      <c r="B65">
        <v>89692</v>
      </c>
      <c r="C65">
        <v>-5.4084E-2</v>
      </c>
      <c r="D65" s="5">
        <v>2.6389829999999998E-6</v>
      </c>
      <c r="E65">
        <v>6.3639558999999998E-2</v>
      </c>
      <c r="F65">
        <v>-4.3860000000000001E-3</v>
      </c>
      <c r="G65" t="s">
        <v>24</v>
      </c>
      <c r="I65">
        <f t="shared" si="3"/>
        <v>-5.4086638983E-2</v>
      </c>
      <c r="J65">
        <f t="shared" si="1"/>
        <v>6.3636920016999998E-2</v>
      </c>
      <c r="K65">
        <f t="shared" si="4"/>
        <v>-4.3886389830000002E-3</v>
      </c>
    </row>
    <row r="66" spans="1:11" x14ac:dyDescent="0.35">
      <c r="A66" t="s">
        <v>87</v>
      </c>
      <c r="B66">
        <v>89692</v>
      </c>
      <c r="C66">
        <v>0.11000600000000001</v>
      </c>
      <c r="D66" s="5">
        <v>4.0279559999999999E-6</v>
      </c>
      <c r="E66">
        <v>2.0069690000000001E-2</v>
      </c>
      <c r="F66">
        <v>5.8833999999999997E-2</v>
      </c>
      <c r="G66" t="s">
        <v>24</v>
      </c>
      <c r="I66">
        <f t="shared" si="3"/>
        <v>0.110001972044</v>
      </c>
      <c r="J66">
        <f t="shared" si="1"/>
        <v>2.0065662044E-2</v>
      </c>
      <c r="K66">
        <f t="shared" si="4"/>
        <v>5.8829972043999999E-2</v>
      </c>
    </row>
    <row r="67" spans="1:11" x14ac:dyDescent="0.35">
      <c r="A67" t="s">
        <v>88</v>
      </c>
      <c r="B67">
        <v>89692</v>
      </c>
      <c r="C67">
        <v>-9.2777999999999999E-2</v>
      </c>
      <c r="D67" s="5">
        <v>4.1669009000000002E-6</v>
      </c>
      <c r="E67">
        <v>-7.9213500000000006E-2</v>
      </c>
      <c r="F67">
        <v>3.0522000000000001E-2</v>
      </c>
      <c r="G67" t="s">
        <v>24</v>
      </c>
      <c r="I67">
        <f t="shared" si="3"/>
        <v>-9.2782166900899993E-2</v>
      </c>
      <c r="J67">
        <f t="shared" si="1"/>
        <v>-7.92176669009E-2</v>
      </c>
      <c r="K67">
        <f t="shared" si="4"/>
        <v>3.05178330991E-2</v>
      </c>
    </row>
    <row r="68" spans="1:11" x14ac:dyDescent="0.35">
      <c r="A68" t="s">
        <v>89</v>
      </c>
      <c r="B68">
        <v>89692</v>
      </c>
      <c r="C68">
        <v>-6.973E-3</v>
      </c>
      <c r="D68" s="5">
        <v>4.4447111E-6</v>
      </c>
      <c r="E68">
        <v>-5.0825889999999999E-2</v>
      </c>
      <c r="F68">
        <v>2.3545E-2</v>
      </c>
      <c r="G68" t="s">
        <v>24</v>
      </c>
      <c r="I68">
        <f t="shared" si="3"/>
        <v>-6.9774447111000002E-3</v>
      </c>
      <c r="J68">
        <f t="shared" ref="J68:J131" si="7">E68-D68</f>
        <v>-5.0830334711099996E-2</v>
      </c>
      <c r="K68">
        <f t="shared" si="4"/>
        <v>2.3540555288899999E-2</v>
      </c>
    </row>
    <row r="69" spans="1:11" x14ac:dyDescent="0.35">
      <c r="A69" t="s">
        <v>90</v>
      </c>
      <c r="B69">
        <v>89692</v>
      </c>
      <c r="C69">
        <v>-4.0960000000000003E-2</v>
      </c>
      <c r="D69" s="5">
        <v>3.7501547000000001E-6</v>
      </c>
      <c r="E69">
        <v>7.0217035999999997E-2</v>
      </c>
      <c r="F69">
        <v>-5.0871E-2</v>
      </c>
      <c r="G69" t="s">
        <v>24</v>
      </c>
      <c r="I69">
        <f t="shared" si="3"/>
        <v>-4.0963750154700003E-2</v>
      </c>
      <c r="J69">
        <f t="shared" si="7"/>
        <v>7.0213285845299997E-2</v>
      </c>
      <c r="K69">
        <f t="shared" si="4"/>
        <v>-5.0874750154699999E-2</v>
      </c>
    </row>
    <row r="70" spans="1:11" x14ac:dyDescent="0.35">
      <c r="A70" t="s">
        <v>91</v>
      </c>
      <c r="B70">
        <v>89692</v>
      </c>
      <c r="C70">
        <v>3.5387000000000002E-2</v>
      </c>
      <c r="D70" s="5">
        <v>4.1669009000000002E-6</v>
      </c>
      <c r="E70">
        <v>-4.2918108000000003E-2</v>
      </c>
      <c r="F70">
        <v>5.7061000000000001E-2</v>
      </c>
      <c r="G70" t="s">
        <v>24</v>
      </c>
      <c r="I70">
        <f t="shared" si="3"/>
        <v>3.5382833099100001E-2</v>
      </c>
      <c r="J70">
        <f t="shared" si="7"/>
        <v>-4.2922274900900004E-2</v>
      </c>
      <c r="K70">
        <f t="shared" si="4"/>
        <v>5.70568330991E-2</v>
      </c>
    </row>
    <row r="71" spans="1:11" x14ac:dyDescent="0.35">
      <c r="A71" t="s">
        <v>92</v>
      </c>
      <c r="B71">
        <v>89692</v>
      </c>
      <c r="C71">
        <v>0.11051999999999999</v>
      </c>
      <c r="D71" s="5">
        <v>4.7224784999999996E-6</v>
      </c>
      <c r="E71">
        <v>9.1566808999999999E-2</v>
      </c>
      <c r="F71">
        <v>4.7756E-2</v>
      </c>
      <c r="G71" t="s">
        <v>24</v>
      </c>
      <c r="I71">
        <f t="shared" si="3"/>
        <v>0.11051527752149999</v>
      </c>
      <c r="J71">
        <f t="shared" si="7"/>
        <v>9.1562086521499997E-2</v>
      </c>
      <c r="K71">
        <f t="shared" si="4"/>
        <v>4.7751277521499998E-2</v>
      </c>
    </row>
    <row r="72" spans="1:11" x14ac:dyDescent="0.35">
      <c r="A72" t="s">
        <v>93</v>
      </c>
      <c r="B72">
        <v>89692</v>
      </c>
      <c r="C72">
        <v>-4.4705000000000002E-2</v>
      </c>
      <c r="D72" s="5">
        <v>4.3058153000000004E-6</v>
      </c>
      <c r="E72">
        <v>3.7957888000000002E-2</v>
      </c>
      <c r="F72">
        <v>3.6823000000000002E-2</v>
      </c>
      <c r="G72" t="s">
        <v>24</v>
      </c>
      <c r="I72">
        <f t="shared" si="3"/>
        <v>-4.4709305815299999E-2</v>
      </c>
      <c r="J72">
        <f t="shared" si="7"/>
        <v>3.7953582184700005E-2</v>
      </c>
      <c r="K72">
        <f t="shared" si="4"/>
        <v>3.6818694184700004E-2</v>
      </c>
    </row>
    <row r="73" spans="1:11" x14ac:dyDescent="0.35">
      <c r="A73" t="s">
        <v>94</v>
      </c>
      <c r="B73">
        <v>89692</v>
      </c>
      <c r="C73">
        <v>-2.8969000000000002E-2</v>
      </c>
      <c r="D73" s="5">
        <v>4.0280046999999999E-6</v>
      </c>
      <c r="E73">
        <v>8.7761291999999998E-3</v>
      </c>
      <c r="F73">
        <v>2.1113E-2</v>
      </c>
      <c r="G73" t="s">
        <v>24</v>
      </c>
      <c r="I73">
        <f t="shared" ref="I73:I136" si="8">C73-D73</f>
        <v>-2.8973028004700002E-2</v>
      </c>
      <c r="J73">
        <f t="shared" si="7"/>
        <v>8.7721011952999993E-3</v>
      </c>
      <c r="K73">
        <f t="shared" ref="K73:K136" si="9">F73-D73</f>
        <v>2.1108971995299999E-2</v>
      </c>
    </row>
    <row r="74" spans="1:11" x14ac:dyDescent="0.35">
      <c r="A74" t="s">
        <v>95</v>
      </c>
      <c r="B74">
        <v>89692</v>
      </c>
      <c r="C74">
        <v>8.7779999999999997E-2</v>
      </c>
      <c r="D74" s="5">
        <v>4.7224784999999996E-6</v>
      </c>
      <c r="E74">
        <v>6.7283355000000003E-2</v>
      </c>
      <c r="F74">
        <v>2.4368999999999998E-2</v>
      </c>
      <c r="G74" t="s">
        <v>24</v>
      </c>
      <c r="I74">
        <f t="shared" si="8"/>
        <v>8.7775277521499995E-2</v>
      </c>
      <c r="J74">
        <f t="shared" si="7"/>
        <v>6.7278632521500001E-2</v>
      </c>
      <c r="K74">
        <f t="shared" si="9"/>
        <v>2.43642775215E-2</v>
      </c>
    </row>
    <row r="75" spans="1:11" x14ac:dyDescent="0.35">
      <c r="A75" t="s">
        <v>96</v>
      </c>
      <c r="B75">
        <v>89692</v>
      </c>
      <c r="C75">
        <v>-0.122363</v>
      </c>
      <c r="D75" s="5">
        <v>1.5278093000000001E-6</v>
      </c>
      <c r="E75">
        <v>1.9074834999999998E-2</v>
      </c>
      <c r="F75">
        <v>-6.3797999999999994E-2</v>
      </c>
      <c r="G75" t="s">
        <v>24</v>
      </c>
      <c r="I75">
        <f t="shared" si="8"/>
        <v>-0.1223645278093</v>
      </c>
      <c r="J75">
        <f t="shared" si="7"/>
        <v>1.9073307190699999E-2</v>
      </c>
      <c r="K75">
        <f t="shared" si="9"/>
        <v>-6.3799527809299997E-2</v>
      </c>
    </row>
    <row r="76" spans="1:11" x14ac:dyDescent="0.35">
      <c r="A76" t="s">
        <v>97</v>
      </c>
      <c r="B76">
        <v>89692</v>
      </c>
      <c r="C76">
        <v>-4.6875E-2</v>
      </c>
      <c r="D76" s="5">
        <v>4.1668749999999998E-6</v>
      </c>
      <c r="E76">
        <v>3.8132824000000003E-2</v>
      </c>
      <c r="F76">
        <v>5.9991000000000003E-2</v>
      </c>
      <c r="G76" t="s">
        <v>24</v>
      </c>
      <c r="I76">
        <f t="shared" si="8"/>
        <v>-4.6879166875000003E-2</v>
      </c>
      <c r="J76">
        <f t="shared" si="7"/>
        <v>3.8128657125E-2</v>
      </c>
      <c r="K76">
        <f t="shared" si="9"/>
        <v>5.9986833125E-2</v>
      </c>
    </row>
    <row r="77" spans="1:11" x14ac:dyDescent="0.35">
      <c r="A77" t="s">
        <v>98</v>
      </c>
      <c r="B77">
        <v>89692</v>
      </c>
      <c r="C77">
        <v>-3.7829999999999999E-3</v>
      </c>
      <c r="D77" s="5">
        <v>3.7501688E-6</v>
      </c>
      <c r="E77">
        <v>3.4299082999999998E-3</v>
      </c>
      <c r="F77">
        <v>1.5973999999999999E-2</v>
      </c>
      <c r="G77" t="s">
        <v>24</v>
      </c>
      <c r="I77">
        <f t="shared" si="8"/>
        <v>-3.7867501687999998E-3</v>
      </c>
      <c r="J77">
        <f t="shared" si="7"/>
        <v>3.4261581312E-3</v>
      </c>
      <c r="K77">
        <f t="shared" si="9"/>
        <v>1.59702498312E-2</v>
      </c>
    </row>
    <row r="78" spans="1:11" x14ac:dyDescent="0.35">
      <c r="A78" t="s">
        <v>99</v>
      </c>
      <c r="B78">
        <v>89692</v>
      </c>
      <c r="C78">
        <v>5.7140000000000003E-3</v>
      </c>
      <c r="D78" s="5">
        <v>1.8056012E-6</v>
      </c>
      <c r="E78">
        <v>2.8691142999999999E-2</v>
      </c>
      <c r="F78">
        <v>8.9446999999999999E-2</v>
      </c>
      <c r="G78" t="s">
        <v>24</v>
      </c>
      <c r="I78">
        <f t="shared" si="8"/>
        <v>5.7121943988000003E-3</v>
      </c>
      <c r="J78">
        <f t="shared" si="7"/>
        <v>2.8689337398799999E-2</v>
      </c>
      <c r="K78">
        <f t="shared" si="9"/>
        <v>8.9445194398799999E-2</v>
      </c>
    </row>
    <row r="79" spans="1:11" x14ac:dyDescent="0.35">
      <c r="A79" t="s">
        <v>100</v>
      </c>
      <c r="B79">
        <v>89692</v>
      </c>
      <c r="C79">
        <v>-7.5760000000000003E-3</v>
      </c>
      <c r="D79" s="5">
        <v>8.3334270999999995E-7</v>
      </c>
      <c r="E79">
        <v>-1.4824624999999999E-2</v>
      </c>
      <c r="F79">
        <v>-1.7916999999999999E-2</v>
      </c>
      <c r="G79" t="s">
        <v>24</v>
      </c>
      <c r="I79">
        <f t="shared" si="8"/>
        <v>-7.57683334271E-3</v>
      </c>
      <c r="J79">
        <f t="shared" si="7"/>
        <v>-1.4825458342709999E-2</v>
      </c>
      <c r="K79">
        <f t="shared" si="9"/>
        <v>-1.791783334271E-2</v>
      </c>
    </row>
    <row r="80" spans="1:11" x14ac:dyDescent="0.35">
      <c r="A80" t="s">
        <v>101</v>
      </c>
      <c r="B80">
        <v>89692</v>
      </c>
      <c r="C80">
        <v>5.0889999999999998E-3</v>
      </c>
      <c r="D80" s="5">
        <v>1.2500179E-6</v>
      </c>
      <c r="E80">
        <v>-1.8264328999999999E-2</v>
      </c>
      <c r="F80">
        <v>-2.4317999999999999E-2</v>
      </c>
      <c r="G80" t="s">
        <v>24</v>
      </c>
      <c r="I80">
        <f t="shared" si="8"/>
        <v>5.0877499821000002E-3</v>
      </c>
      <c r="J80">
        <f t="shared" si="7"/>
        <v>-1.8265579017899998E-2</v>
      </c>
      <c r="K80">
        <f t="shared" si="9"/>
        <v>-2.4319250017899998E-2</v>
      </c>
    </row>
    <row r="81" spans="1:11" x14ac:dyDescent="0.35">
      <c r="A81" t="s">
        <v>102</v>
      </c>
      <c r="B81">
        <v>89692</v>
      </c>
      <c r="C81">
        <v>3.4176999999999999E-2</v>
      </c>
      <c r="D81" s="5">
        <v>5.5555989E-7</v>
      </c>
      <c r="E81">
        <v>-2.2433277000000001E-2</v>
      </c>
      <c r="F81">
        <v>8.4170999999999996E-2</v>
      </c>
      <c r="G81" t="s">
        <v>24</v>
      </c>
      <c r="I81">
        <f t="shared" si="8"/>
        <v>3.4176444440109997E-2</v>
      </c>
      <c r="J81">
        <f t="shared" si="7"/>
        <v>-2.2433832559890003E-2</v>
      </c>
      <c r="K81">
        <f t="shared" si="9"/>
        <v>8.4170444440110001E-2</v>
      </c>
    </row>
    <row r="82" spans="1:11" x14ac:dyDescent="0.35">
      <c r="A82" t="s">
        <v>103</v>
      </c>
      <c r="B82">
        <v>89692</v>
      </c>
      <c r="C82">
        <v>5.8139999999999997E-2</v>
      </c>
      <c r="D82" s="5">
        <v>5.0003378000000001E-6</v>
      </c>
      <c r="E82">
        <v>-5.7314354999999997E-2</v>
      </c>
      <c r="F82">
        <v>0.122749</v>
      </c>
      <c r="G82" t="s">
        <v>24</v>
      </c>
      <c r="I82">
        <f t="shared" si="8"/>
        <v>5.8134999662199996E-2</v>
      </c>
      <c r="J82">
        <f t="shared" si="7"/>
        <v>-5.7319355337799999E-2</v>
      </c>
      <c r="K82">
        <f t="shared" si="9"/>
        <v>0.1227439996622</v>
      </c>
    </row>
    <row r="83" spans="1:11" x14ac:dyDescent="0.35">
      <c r="A83" t="s">
        <v>104</v>
      </c>
      <c r="B83">
        <v>89692</v>
      </c>
      <c r="C83">
        <v>-0.14169999999999999</v>
      </c>
      <c r="D83" s="5">
        <v>4.1666856999999999E-7</v>
      </c>
      <c r="E83">
        <v>-8.4963291999999996E-2</v>
      </c>
      <c r="F83">
        <v>-0.110623</v>
      </c>
      <c r="G83" t="s">
        <v>24</v>
      </c>
      <c r="I83">
        <f t="shared" si="8"/>
        <v>-0.14170041666857</v>
      </c>
      <c r="J83">
        <f t="shared" si="7"/>
        <v>-8.496370866856999E-2</v>
      </c>
      <c r="K83">
        <f t="shared" si="9"/>
        <v>-0.11062341666856999</v>
      </c>
    </row>
    <row r="84" spans="1:11" x14ac:dyDescent="0.35">
      <c r="A84" t="s">
        <v>105</v>
      </c>
      <c r="B84">
        <v>89692</v>
      </c>
      <c r="C84">
        <v>-2.9093000000000001E-2</v>
      </c>
      <c r="D84" s="5">
        <v>5.5555972000000002E-7</v>
      </c>
      <c r="E84">
        <v>7.7098571000000005E-2</v>
      </c>
      <c r="F84">
        <v>5.8712E-2</v>
      </c>
      <c r="G84" t="s">
        <v>24</v>
      </c>
      <c r="I84">
        <f t="shared" si="8"/>
        <v>-2.909355555972E-2</v>
      </c>
      <c r="J84">
        <f t="shared" si="7"/>
        <v>7.7098015440279999E-2</v>
      </c>
      <c r="K84">
        <f t="shared" si="9"/>
        <v>5.8711444440280001E-2</v>
      </c>
    </row>
    <row r="85" spans="1:11" x14ac:dyDescent="0.35">
      <c r="A85" t="s">
        <v>106</v>
      </c>
      <c r="B85">
        <v>89692</v>
      </c>
      <c r="C85">
        <v>-2.6481000000000001E-2</v>
      </c>
      <c r="D85" s="5">
        <v>6.9445048000000002E-7</v>
      </c>
      <c r="E85">
        <v>-2.5843721E-2</v>
      </c>
      <c r="F85">
        <v>1.6673E-2</v>
      </c>
      <c r="G85" t="s">
        <v>24</v>
      </c>
      <c r="I85">
        <f t="shared" si="8"/>
        <v>-2.6481694450480001E-2</v>
      </c>
      <c r="J85">
        <f t="shared" si="7"/>
        <v>-2.584441545048E-2</v>
      </c>
      <c r="K85">
        <f t="shared" si="9"/>
        <v>1.6672305549520001E-2</v>
      </c>
    </row>
    <row r="86" spans="1:11" x14ac:dyDescent="0.35">
      <c r="A86" t="s">
        <v>107</v>
      </c>
      <c r="B86">
        <v>89692</v>
      </c>
      <c r="C86">
        <v>-0.18396599999999999</v>
      </c>
      <c r="D86" s="5">
        <v>1.6666698E-7</v>
      </c>
      <c r="E86">
        <v>3.7129038999999999E-3</v>
      </c>
      <c r="F86">
        <v>-0.106624</v>
      </c>
      <c r="G86" t="s">
        <v>24</v>
      </c>
      <c r="I86">
        <f t="shared" si="8"/>
        <v>-0.18396616666697999</v>
      </c>
      <c r="J86">
        <f t="shared" si="7"/>
        <v>3.7127372330199998E-3</v>
      </c>
      <c r="K86">
        <f t="shared" si="9"/>
        <v>-0.10662416666697999</v>
      </c>
    </row>
    <row r="87" spans="1:11" x14ac:dyDescent="0.35">
      <c r="A87" t="s">
        <v>108</v>
      </c>
      <c r="B87">
        <v>89692</v>
      </c>
      <c r="C87">
        <v>-9.6489999999999996E-3</v>
      </c>
      <c r="D87" s="5">
        <v>4.1666901999999998E-7</v>
      </c>
      <c r="E87">
        <v>5.4102684999999998E-2</v>
      </c>
      <c r="F87">
        <v>0.113955</v>
      </c>
      <c r="G87" t="s">
        <v>24</v>
      </c>
      <c r="I87">
        <f t="shared" si="8"/>
        <v>-9.6494166690200001E-3</v>
      </c>
      <c r="J87">
        <f t="shared" si="7"/>
        <v>5.4102268330979995E-2</v>
      </c>
      <c r="K87">
        <f t="shared" si="9"/>
        <v>0.11395458333098001</v>
      </c>
    </row>
    <row r="88" spans="1:11" x14ac:dyDescent="0.35">
      <c r="A88" t="s">
        <v>109</v>
      </c>
      <c r="B88">
        <v>89692</v>
      </c>
      <c r="C88">
        <v>-1.8600999999999999E-2</v>
      </c>
      <c r="D88" s="5">
        <v>1.6666986000000001E-6</v>
      </c>
      <c r="E88">
        <v>4.1180659000000001E-2</v>
      </c>
      <c r="F88">
        <v>-2.9673000000000001E-2</v>
      </c>
      <c r="G88" t="s">
        <v>24</v>
      </c>
      <c r="I88">
        <f t="shared" si="8"/>
        <v>-1.8602666698600001E-2</v>
      </c>
      <c r="J88">
        <f t="shared" si="7"/>
        <v>4.11789923014E-2</v>
      </c>
      <c r="K88">
        <f t="shared" si="9"/>
        <v>-2.9674666698600003E-2</v>
      </c>
    </row>
    <row r="89" spans="1:11" x14ac:dyDescent="0.35">
      <c r="A89" t="s">
        <v>110</v>
      </c>
      <c r="B89">
        <v>89692</v>
      </c>
      <c r="C89">
        <v>-0.109206</v>
      </c>
      <c r="D89" s="5">
        <v>1.1111247000000001E-6</v>
      </c>
      <c r="E89">
        <v>2.4026984000000001E-2</v>
      </c>
      <c r="F89">
        <v>-1.3184E-2</v>
      </c>
      <c r="G89" t="s">
        <v>24</v>
      </c>
      <c r="I89">
        <f t="shared" si="8"/>
        <v>-0.1092071111247</v>
      </c>
      <c r="J89">
        <f t="shared" si="7"/>
        <v>2.4025872875300003E-2</v>
      </c>
      <c r="K89">
        <f t="shared" si="9"/>
        <v>-1.31851111247E-2</v>
      </c>
    </row>
    <row r="90" spans="1:11" x14ac:dyDescent="0.35">
      <c r="A90" t="s">
        <v>111</v>
      </c>
      <c r="B90">
        <v>89692</v>
      </c>
      <c r="C90">
        <v>-8.5802000000000003E-2</v>
      </c>
      <c r="D90" s="5">
        <v>9.722349400000001E-7</v>
      </c>
      <c r="E90">
        <v>-6.8070008E-3</v>
      </c>
      <c r="F90">
        <v>-1.48E-3</v>
      </c>
      <c r="G90" t="s">
        <v>24</v>
      </c>
      <c r="I90">
        <f t="shared" si="8"/>
        <v>-8.5802972234940003E-2</v>
      </c>
      <c r="J90">
        <f t="shared" si="7"/>
        <v>-6.8079730349399998E-3</v>
      </c>
      <c r="K90">
        <f t="shared" si="9"/>
        <v>-1.4809722349400001E-3</v>
      </c>
    </row>
    <row r="91" spans="1:11" x14ac:dyDescent="0.35">
      <c r="A91" t="s">
        <v>112</v>
      </c>
      <c r="B91">
        <v>89692</v>
      </c>
      <c r="C91">
        <v>-0.109497</v>
      </c>
      <c r="D91" s="5">
        <v>1.8055947E-6</v>
      </c>
      <c r="E91">
        <v>-6.5889180000000006E-2</v>
      </c>
      <c r="F91">
        <v>-6.3380000000000006E-2</v>
      </c>
      <c r="G91" t="s">
        <v>24</v>
      </c>
      <c r="I91">
        <f t="shared" si="8"/>
        <v>-0.1094988055947</v>
      </c>
      <c r="J91">
        <f t="shared" si="7"/>
        <v>-6.5890985594700011E-2</v>
      </c>
      <c r="K91">
        <f t="shared" si="9"/>
        <v>-6.3381805594700011E-2</v>
      </c>
    </row>
    <row r="92" spans="1:11" x14ac:dyDescent="0.35">
      <c r="A92" t="s">
        <v>113</v>
      </c>
      <c r="B92">
        <v>89692</v>
      </c>
      <c r="C92">
        <v>2.2585000000000001E-2</v>
      </c>
      <c r="D92" s="5">
        <v>8.3334305000000002E-7</v>
      </c>
      <c r="E92">
        <v>3.8209856E-2</v>
      </c>
      <c r="F92">
        <v>2.3546000000000001E-2</v>
      </c>
      <c r="G92" t="s">
        <v>24</v>
      </c>
      <c r="I92">
        <f t="shared" si="8"/>
        <v>2.2584166656950001E-2</v>
      </c>
      <c r="J92">
        <f t="shared" si="7"/>
        <v>3.8209022656950004E-2</v>
      </c>
      <c r="K92">
        <f t="shared" si="9"/>
        <v>2.3545166656950001E-2</v>
      </c>
    </row>
    <row r="93" spans="1:11" x14ac:dyDescent="0.35">
      <c r="A93" t="s">
        <v>114</v>
      </c>
      <c r="B93">
        <v>89692</v>
      </c>
      <c r="C93">
        <v>1.9632E-2</v>
      </c>
      <c r="D93" s="5">
        <v>9.722349400000001E-7</v>
      </c>
      <c r="E93">
        <v>1.0293739999999999E-2</v>
      </c>
      <c r="F93">
        <v>8.3770000000000008E-3</v>
      </c>
      <c r="G93" t="s">
        <v>24</v>
      </c>
      <c r="I93">
        <f t="shared" si="8"/>
        <v>1.963102776506E-2</v>
      </c>
      <c r="J93">
        <f t="shared" si="7"/>
        <v>1.0292767765059999E-2</v>
      </c>
      <c r="K93">
        <f t="shared" si="9"/>
        <v>8.3760277650600009E-3</v>
      </c>
    </row>
    <row r="94" spans="1:11" x14ac:dyDescent="0.35">
      <c r="A94" t="s">
        <v>115</v>
      </c>
      <c r="B94">
        <v>89692</v>
      </c>
      <c r="C94">
        <v>7.0999000000000007E-2</v>
      </c>
      <c r="D94" s="5">
        <v>1.3889111E-6</v>
      </c>
      <c r="E94">
        <v>2.6292300000000001E-2</v>
      </c>
      <c r="F94">
        <v>4.9396000000000002E-2</v>
      </c>
      <c r="G94" t="s">
        <v>24</v>
      </c>
      <c r="I94">
        <f t="shared" si="8"/>
        <v>7.0997611088900001E-2</v>
      </c>
      <c r="J94">
        <f t="shared" si="7"/>
        <v>2.6290911088900002E-2</v>
      </c>
      <c r="K94">
        <f t="shared" si="9"/>
        <v>4.9394611088900003E-2</v>
      </c>
    </row>
    <row r="95" spans="1:11" x14ac:dyDescent="0.35">
      <c r="A95" t="s">
        <v>116</v>
      </c>
      <c r="B95">
        <v>89692</v>
      </c>
      <c r="C95">
        <v>0.15618000000000001</v>
      </c>
      <c r="D95" s="5">
        <v>2.3611862999999998E-6</v>
      </c>
      <c r="E95">
        <v>2.6509768999999999E-2</v>
      </c>
      <c r="F95">
        <v>4.6705999999999998E-2</v>
      </c>
      <c r="G95" t="s">
        <v>24</v>
      </c>
      <c r="I95">
        <f t="shared" si="8"/>
        <v>0.1561776388137</v>
      </c>
      <c r="J95">
        <f t="shared" si="7"/>
        <v>2.65074078137E-2</v>
      </c>
      <c r="K95">
        <f t="shared" si="9"/>
        <v>4.6703638813699995E-2</v>
      </c>
    </row>
    <row r="96" spans="1:11" x14ac:dyDescent="0.35">
      <c r="A96" t="s">
        <v>117</v>
      </c>
      <c r="B96">
        <v>89692</v>
      </c>
      <c r="C96">
        <v>-2.1548000000000001E-2</v>
      </c>
      <c r="D96" s="5">
        <v>1.5278093000000001E-6</v>
      </c>
      <c r="E96">
        <v>-1.0423534999999999E-2</v>
      </c>
      <c r="F96">
        <v>-2.9437000000000001E-2</v>
      </c>
      <c r="G96" t="s">
        <v>24</v>
      </c>
      <c r="I96">
        <f t="shared" si="8"/>
        <v>-2.1549527809300001E-2</v>
      </c>
      <c r="J96">
        <f t="shared" si="7"/>
        <v>-1.0425062809299999E-2</v>
      </c>
      <c r="K96">
        <f t="shared" si="9"/>
        <v>-2.9438527809300001E-2</v>
      </c>
    </row>
    <row r="97" spans="1:11" x14ac:dyDescent="0.35">
      <c r="A97" t="s">
        <v>118</v>
      </c>
      <c r="B97">
        <v>89692</v>
      </c>
      <c r="C97">
        <v>9.0089999999999996E-3</v>
      </c>
      <c r="D97" s="5">
        <v>2.7778665000000001E-6</v>
      </c>
      <c r="E97">
        <v>6.5123695000000002E-3</v>
      </c>
      <c r="F97">
        <v>-4.6750000000000003E-3</v>
      </c>
      <c r="G97" t="s">
        <v>24</v>
      </c>
      <c r="I97">
        <f t="shared" si="8"/>
        <v>9.0062221335000005E-3</v>
      </c>
      <c r="J97">
        <f t="shared" si="7"/>
        <v>6.5095916335000002E-3</v>
      </c>
      <c r="K97">
        <f t="shared" si="9"/>
        <v>-4.6777778665000004E-3</v>
      </c>
    </row>
    <row r="98" spans="1:11" x14ac:dyDescent="0.35">
      <c r="A98" t="s">
        <v>119</v>
      </c>
      <c r="B98">
        <v>89692</v>
      </c>
      <c r="C98">
        <v>-3.5714000000000003E-2</v>
      </c>
      <c r="D98" s="5">
        <v>3.1945822000000001E-6</v>
      </c>
      <c r="E98">
        <v>1.2589275E-2</v>
      </c>
      <c r="F98">
        <v>-2.4267E-2</v>
      </c>
      <c r="G98" t="s">
        <v>24</v>
      </c>
      <c r="I98">
        <f t="shared" si="8"/>
        <v>-3.5717194582200004E-2</v>
      </c>
      <c r="J98">
        <f t="shared" si="7"/>
        <v>1.2586080417800001E-2</v>
      </c>
      <c r="K98">
        <f t="shared" si="9"/>
        <v>-2.4270194582200002E-2</v>
      </c>
    </row>
    <row r="99" spans="1:11" x14ac:dyDescent="0.35">
      <c r="A99" t="s">
        <v>120</v>
      </c>
      <c r="B99">
        <v>89692</v>
      </c>
      <c r="C99">
        <v>-0.15329200000000001</v>
      </c>
      <c r="D99" s="5">
        <v>5.5555926999999998E-7</v>
      </c>
      <c r="E99">
        <v>5.4154015999999999E-2</v>
      </c>
      <c r="F99">
        <v>-5.0639999999999999E-3</v>
      </c>
      <c r="G99" t="s">
        <v>24</v>
      </c>
      <c r="I99">
        <f t="shared" si="8"/>
        <v>-0.15329255555927002</v>
      </c>
      <c r="J99">
        <f t="shared" si="7"/>
        <v>5.4153460440730002E-2</v>
      </c>
      <c r="K99">
        <f t="shared" si="9"/>
        <v>-5.0645555592700002E-3</v>
      </c>
    </row>
    <row r="100" spans="1:11" x14ac:dyDescent="0.35">
      <c r="A100" t="s">
        <v>121</v>
      </c>
      <c r="B100">
        <v>89692</v>
      </c>
      <c r="C100">
        <v>-7.4119000000000004E-2</v>
      </c>
      <c r="D100" s="5">
        <v>1.1111283999999999E-6</v>
      </c>
      <c r="E100">
        <v>8.3725397000000007E-3</v>
      </c>
      <c r="F100">
        <v>-5.0867999999999997E-2</v>
      </c>
      <c r="G100" t="s">
        <v>24</v>
      </c>
      <c r="I100">
        <f t="shared" si="8"/>
        <v>-7.4120111128400001E-2</v>
      </c>
      <c r="J100">
        <f t="shared" si="7"/>
        <v>8.3714285716000002E-3</v>
      </c>
      <c r="K100">
        <f t="shared" si="9"/>
        <v>-5.0869111128399994E-2</v>
      </c>
    </row>
    <row r="101" spans="1:11" x14ac:dyDescent="0.35">
      <c r="A101" t="s">
        <v>122</v>
      </c>
      <c r="B101">
        <v>89692</v>
      </c>
      <c r="C101">
        <v>5.1180999999999997E-2</v>
      </c>
      <c r="D101" s="5">
        <v>2.3611892000000002E-6</v>
      </c>
      <c r="E101">
        <v>3.5316341000000001E-2</v>
      </c>
      <c r="F101">
        <v>9.6080000000000002E-3</v>
      </c>
      <c r="G101" t="s">
        <v>24</v>
      </c>
      <c r="I101">
        <f t="shared" si="8"/>
        <v>5.1178638810799995E-2</v>
      </c>
      <c r="J101">
        <f t="shared" si="7"/>
        <v>3.5313979810799999E-2</v>
      </c>
      <c r="K101">
        <f t="shared" si="9"/>
        <v>9.6056388107999997E-3</v>
      </c>
    </row>
    <row r="102" spans="1:11" x14ac:dyDescent="0.35">
      <c r="A102" t="s">
        <v>123</v>
      </c>
      <c r="B102">
        <v>89692</v>
      </c>
      <c r="C102">
        <v>-0.31399700000000003</v>
      </c>
      <c r="D102" s="5">
        <v>9.7223551000000005E-7</v>
      </c>
      <c r="E102">
        <v>1.4946403E-2</v>
      </c>
      <c r="F102">
        <v>-7.5743000000000005E-2</v>
      </c>
      <c r="G102" t="s">
        <v>24</v>
      </c>
      <c r="I102">
        <f t="shared" si="8"/>
        <v>-0.31399797223551001</v>
      </c>
      <c r="J102">
        <f t="shared" si="7"/>
        <v>1.494543076449E-2</v>
      </c>
      <c r="K102">
        <f t="shared" si="9"/>
        <v>-7.5743972235510007E-2</v>
      </c>
    </row>
    <row r="103" spans="1:11" x14ac:dyDescent="0.35">
      <c r="A103" t="s">
        <v>124</v>
      </c>
      <c r="B103">
        <v>89692</v>
      </c>
      <c r="C103">
        <v>0.178309</v>
      </c>
      <c r="D103" s="5">
        <v>9.7223312000000006E-7</v>
      </c>
      <c r="E103">
        <v>1.9178807999999999E-2</v>
      </c>
      <c r="F103">
        <v>-6.1988000000000001E-2</v>
      </c>
      <c r="G103" t="s">
        <v>24</v>
      </c>
      <c r="I103">
        <f t="shared" si="8"/>
        <v>0.17830802776687998</v>
      </c>
      <c r="J103">
        <f t="shared" si="7"/>
        <v>1.9177835766879998E-2</v>
      </c>
      <c r="K103">
        <f t="shared" si="9"/>
        <v>-6.1988972233119999E-2</v>
      </c>
    </row>
    <row r="104" spans="1:11" x14ac:dyDescent="0.35">
      <c r="A104" t="s">
        <v>125</v>
      </c>
      <c r="B104">
        <v>89692</v>
      </c>
      <c r="C104">
        <v>-0.20436799999999999</v>
      </c>
      <c r="D104" s="5">
        <v>5.5555972000000002E-7</v>
      </c>
      <c r="E104">
        <v>-1.5042944000000001E-2</v>
      </c>
      <c r="F104">
        <v>-0.11058800000000001</v>
      </c>
      <c r="G104" t="s">
        <v>24</v>
      </c>
      <c r="I104">
        <f t="shared" si="8"/>
        <v>-0.20436855555972</v>
      </c>
      <c r="J104">
        <f t="shared" si="7"/>
        <v>-1.5043499559720001E-2</v>
      </c>
      <c r="K104">
        <f t="shared" si="9"/>
        <v>-0.11058855555972001</v>
      </c>
    </row>
    <row r="105" spans="1:11" x14ac:dyDescent="0.35">
      <c r="A105" t="s">
        <v>126</v>
      </c>
      <c r="B105">
        <v>89692</v>
      </c>
      <c r="C105">
        <v>2.5489999999999999E-2</v>
      </c>
      <c r="D105" s="5">
        <v>1.3888915000000001E-7</v>
      </c>
      <c r="E105">
        <v>5.2630160000000002E-2</v>
      </c>
      <c r="F105">
        <v>7.4301000000000006E-2</v>
      </c>
      <c r="G105" t="s">
        <v>24</v>
      </c>
      <c r="I105">
        <f t="shared" si="8"/>
        <v>2.5489861110849998E-2</v>
      </c>
      <c r="J105">
        <f t="shared" si="7"/>
        <v>5.2630021110850002E-2</v>
      </c>
      <c r="K105">
        <f t="shared" si="9"/>
        <v>7.4300861110850006E-2</v>
      </c>
    </row>
    <row r="106" spans="1:11" x14ac:dyDescent="0.35">
      <c r="A106" t="s">
        <v>127</v>
      </c>
      <c r="B106">
        <v>89692</v>
      </c>
      <c r="C106">
        <v>5.1624999999999997E-2</v>
      </c>
      <c r="D106" s="5">
        <v>2.7777863999999998E-7</v>
      </c>
      <c r="E106">
        <v>-2.5734027999999999E-2</v>
      </c>
      <c r="F106">
        <v>5.2047000000000003E-2</v>
      </c>
      <c r="G106" t="s">
        <v>24</v>
      </c>
      <c r="I106">
        <f t="shared" si="8"/>
        <v>5.1624722221359998E-2</v>
      </c>
      <c r="J106">
        <f t="shared" si="7"/>
        <v>-2.5734305778639999E-2</v>
      </c>
      <c r="K106">
        <f t="shared" si="9"/>
        <v>5.2046722221360003E-2</v>
      </c>
    </row>
    <row r="107" spans="1:11" x14ac:dyDescent="0.35">
      <c r="A107" t="s">
        <v>128</v>
      </c>
      <c r="B107">
        <v>89692</v>
      </c>
      <c r="C107">
        <v>-8.1818000000000002E-2</v>
      </c>
      <c r="D107" s="5">
        <v>6.9445092999999996E-7</v>
      </c>
      <c r="E107">
        <v>3.7508949999999999E-2</v>
      </c>
      <c r="F107">
        <v>-4.7837999999999999E-2</v>
      </c>
      <c r="G107" t="s">
        <v>24</v>
      </c>
      <c r="I107">
        <f t="shared" si="8"/>
        <v>-8.1818694450929999E-2</v>
      </c>
      <c r="J107">
        <f t="shared" si="7"/>
        <v>3.7508255549070002E-2</v>
      </c>
      <c r="K107">
        <f t="shared" si="9"/>
        <v>-4.7838694450929996E-2</v>
      </c>
    </row>
    <row r="108" spans="1:11" x14ac:dyDescent="0.35">
      <c r="A108" t="s">
        <v>129</v>
      </c>
      <c r="B108">
        <v>89692</v>
      </c>
      <c r="C108">
        <v>3.96E-3</v>
      </c>
      <c r="D108" s="5">
        <v>6.9445025000000003E-7</v>
      </c>
      <c r="E108">
        <v>3.5732113000000003E-2</v>
      </c>
      <c r="F108">
        <v>-3.4329999999999999E-3</v>
      </c>
      <c r="G108" t="s">
        <v>24</v>
      </c>
      <c r="I108">
        <f t="shared" si="8"/>
        <v>3.9593055497499996E-3</v>
      </c>
      <c r="J108">
        <f t="shared" si="7"/>
        <v>3.5731418549750003E-2</v>
      </c>
      <c r="K108">
        <f t="shared" si="9"/>
        <v>-3.4336944502499998E-3</v>
      </c>
    </row>
    <row r="109" spans="1:11" x14ac:dyDescent="0.35">
      <c r="A109" t="s">
        <v>130</v>
      </c>
      <c r="B109">
        <v>89692</v>
      </c>
      <c r="C109">
        <v>-7.1006E-2</v>
      </c>
      <c r="D109" s="5">
        <v>9.7223597000000002E-7</v>
      </c>
      <c r="E109">
        <v>2.3912761000000001E-2</v>
      </c>
      <c r="F109">
        <v>-5.5112000000000001E-2</v>
      </c>
      <c r="G109" t="s">
        <v>24</v>
      </c>
      <c r="I109">
        <f t="shared" si="8"/>
        <v>-7.1006972235969995E-2</v>
      </c>
      <c r="J109">
        <f t="shared" si="7"/>
        <v>2.3911788764030002E-2</v>
      </c>
      <c r="K109">
        <f t="shared" si="9"/>
        <v>-5.5112972235970004E-2</v>
      </c>
    </row>
    <row r="110" spans="1:11" x14ac:dyDescent="0.35">
      <c r="A110" t="s">
        <v>131</v>
      </c>
      <c r="B110">
        <v>89692</v>
      </c>
      <c r="C110">
        <v>-7.0064000000000001E-2</v>
      </c>
      <c r="D110" s="5">
        <v>1.5278093000000001E-6</v>
      </c>
      <c r="E110">
        <v>2.6196547000000001E-2</v>
      </c>
      <c r="F110">
        <v>-3.7945E-2</v>
      </c>
      <c r="G110" t="s">
        <v>24</v>
      </c>
      <c r="I110">
        <f t="shared" si="8"/>
        <v>-7.0065527809300004E-2</v>
      </c>
      <c r="J110">
        <f t="shared" si="7"/>
        <v>2.6195019190700001E-2</v>
      </c>
      <c r="K110">
        <f t="shared" si="9"/>
        <v>-3.7946527809300003E-2</v>
      </c>
    </row>
    <row r="111" spans="1:11" x14ac:dyDescent="0.35">
      <c r="A111" t="s">
        <v>132</v>
      </c>
      <c r="B111">
        <v>89692</v>
      </c>
      <c r="C111">
        <v>4.5662000000000001E-2</v>
      </c>
      <c r="D111" s="5">
        <v>4.1666865999999999E-7</v>
      </c>
      <c r="E111">
        <v>-2.9955011E-2</v>
      </c>
      <c r="F111">
        <v>3.4188999999999997E-2</v>
      </c>
      <c r="G111" t="s">
        <v>24</v>
      </c>
      <c r="I111">
        <f t="shared" si="8"/>
        <v>4.5661583331340003E-2</v>
      </c>
      <c r="J111">
        <f t="shared" si="7"/>
        <v>-2.9955427668659999E-2</v>
      </c>
      <c r="K111">
        <f t="shared" si="9"/>
        <v>3.4188583331339999E-2</v>
      </c>
    </row>
    <row r="112" spans="1:11" x14ac:dyDescent="0.35">
      <c r="A112" t="s">
        <v>133</v>
      </c>
      <c r="B112">
        <v>89692</v>
      </c>
      <c r="C112">
        <v>0.139738</v>
      </c>
      <c r="D112" s="5">
        <v>8.3334270999999995E-7</v>
      </c>
      <c r="E112">
        <v>4.6289820000000002E-2</v>
      </c>
      <c r="F112">
        <v>6.2702999999999995E-2</v>
      </c>
      <c r="G112" t="s">
        <v>24</v>
      </c>
      <c r="I112">
        <f t="shared" si="8"/>
        <v>0.13973716665729</v>
      </c>
      <c r="J112">
        <f t="shared" si="7"/>
        <v>4.6288986657290004E-2</v>
      </c>
      <c r="K112">
        <f t="shared" si="9"/>
        <v>6.270216665728999E-2</v>
      </c>
    </row>
    <row r="113" spans="1:11" x14ac:dyDescent="0.35">
      <c r="A113" t="s">
        <v>134</v>
      </c>
      <c r="B113">
        <v>89692</v>
      </c>
      <c r="C113">
        <v>-0.206897</v>
      </c>
      <c r="D113" s="5">
        <v>1.2500211E-6</v>
      </c>
      <c r="E113">
        <v>4.4357283000000004E-3</v>
      </c>
      <c r="F113">
        <v>-3.1420999999999998E-2</v>
      </c>
      <c r="G113" t="s">
        <v>24</v>
      </c>
      <c r="I113">
        <f t="shared" si="8"/>
        <v>-0.20689825002109999</v>
      </c>
      <c r="J113">
        <f t="shared" si="7"/>
        <v>4.4344782789000007E-3</v>
      </c>
      <c r="K113">
        <f t="shared" si="9"/>
        <v>-3.1422250021099996E-2</v>
      </c>
    </row>
    <row r="114" spans="1:11" x14ac:dyDescent="0.35">
      <c r="A114" t="s">
        <v>135</v>
      </c>
      <c r="B114">
        <v>89692</v>
      </c>
      <c r="C114">
        <v>-1.9324000000000001E-2</v>
      </c>
      <c r="D114" s="5">
        <v>8.3334168999999996E-7</v>
      </c>
      <c r="E114">
        <v>1.4230842999999999E-3</v>
      </c>
      <c r="F114">
        <v>4.9350000000000002E-3</v>
      </c>
      <c r="G114" t="s">
        <v>24</v>
      </c>
      <c r="I114">
        <f t="shared" si="8"/>
        <v>-1.9324833341690002E-2</v>
      </c>
      <c r="J114">
        <f t="shared" si="7"/>
        <v>1.4222509583099998E-3</v>
      </c>
      <c r="K114">
        <f t="shared" si="9"/>
        <v>4.9341666583100005E-3</v>
      </c>
    </row>
    <row r="115" spans="1:11" x14ac:dyDescent="0.35">
      <c r="A115" t="s">
        <v>136</v>
      </c>
      <c r="B115">
        <v>89692</v>
      </c>
      <c r="C115">
        <v>-6.8966E-2</v>
      </c>
      <c r="D115" s="5">
        <v>5.5555893000000002E-7</v>
      </c>
      <c r="E115">
        <v>2.0251281999999999E-2</v>
      </c>
      <c r="F115">
        <v>-3.0509999999999999E-2</v>
      </c>
      <c r="G115" t="s">
        <v>24</v>
      </c>
      <c r="I115">
        <f t="shared" si="8"/>
        <v>-6.8966555558929998E-2</v>
      </c>
      <c r="J115">
        <f t="shared" si="7"/>
        <v>2.025072644107E-2</v>
      </c>
      <c r="K115">
        <f t="shared" si="9"/>
        <v>-3.0510555558929998E-2</v>
      </c>
    </row>
    <row r="116" spans="1:11" x14ac:dyDescent="0.35">
      <c r="A116" t="s">
        <v>137</v>
      </c>
      <c r="B116">
        <v>89692</v>
      </c>
      <c r="C116">
        <v>9.5238000000000003E-2</v>
      </c>
      <c r="D116" s="5">
        <v>1.1111276999999999E-6</v>
      </c>
      <c r="E116">
        <v>2.8027399000000001E-2</v>
      </c>
      <c r="F116">
        <v>6.3189999999999996E-2</v>
      </c>
      <c r="G116" t="s">
        <v>24</v>
      </c>
      <c r="I116">
        <f t="shared" si="8"/>
        <v>9.5236888872300002E-2</v>
      </c>
      <c r="J116">
        <f t="shared" si="7"/>
        <v>2.80262878723E-2</v>
      </c>
      <c r="K116">
        <f t="shared" si="9"/>
        <v>6.3188888872299995E-2</v>
      </c>
    </row>
    <row r="117" spans="1:11" x14ac:dyDescent="0.35">
      <c r="A117" t="s">
        <v>138</v>
      </c>
      <c r="B117">
        <v>89692</v>
      </c>
      <c r="C117">
        <v>-3.6232E-2</v>
      </c>
      <c r="D117" s="5">
        <v>4.1666874000000002E-7</v>
      </c>
      <c r="E117">
        <v>-2.0529615000000001E-2</v>
      </c>
      <c r="F117">
        <v>-3.6317000000000002E-2</v>
      </c>
      <c r="G117" t="s">
        <v>24</v>
      </c>
      <c r="I117">
        <f t="shared" si="8"/>
        <v>-3.6232416668739997E-2</v>
      </c>
      <c r="J117">
        <f t="shared" si="7"/>
        <v>-2.0530031668740002E-2</v>
      </c>
      <c r="K117">
        <f t="shared" si="9"/>
        <v>-3.6317416668739999E-2</v>
      </c>
    </row>
    <row r="118" spans="1:11" x14ac:dyDescent="0.35">
      <c r="A118" t="s">
        <v>139</v>
      </c>
      <c r="B118">
        <v>89692</v>
      </c>
      <c r="C118">
        <v>-1.2531E-2</v>
      </c>
      <c r="D118" s="5">
        <v>2.0833394000000001E-7</v>
      </c>
      <c r="E118">
        <v>4.0290773000000002E-2</v>
      </c>
      <c r="F118">
        <v>3.8089999999999999E-3</v>
      </c>
      <c r="G118" t="s">
        <v>24</v>
      </c>
      <c r="I118">
        <f t="shared" si="8"/>
        <v>-1.2531208333940001E-2</v>
      </c>
      <c r="J118">
        <f t="shared" si="7"/>
        <v>4.029056466606E-2</v>
      </c>
      <c r="K118">
        <f t="shared" si="9"/>
        <v>3.8087916660599999E-3</v>
      </c>
    </row>
    <row r="119" spans="1:11" x14ac:dyDescent="0.35">
      <c r="A119" t="s">
        <v>140</v>
      </c>
      <c r="B119">
        <v>89692</v>
      </c>
      <c r="C119">
        <v>-0.162437</v>
      </c>
      <c r="D119" s="5">
        <v>5.5555972000000002E-7</v>
      </c>
      <c r="E119">
        <v>-2.5125346999999999E-2</v>
      </c>
      <c r="F119">
        <v>-6.1762999999999998E-2</v>
      </c>
      <c r="G119" t="s">
        <v>24</v>
      </c>
      <c r="I119">
        <f t="shared" si="8"/>
        <v>-0.16243755555972</v>
      </c>
      <c r="J119">
        <f t="shared" si="7"/>
        <v>-2.5125902559719998E-2</v>
      </c>
      <c r="K119">
        <f t="shared" si="9"/>
        <v>-6.1763555559719997E-2</v>
      </c>
    </row>
    <row r="120" spans="1:11" x14ac:dyDescent="0.35">
      <c r="A120" t="s">
        <v>141</v>
      </c>
      <c r="B120">
        <v>89692</v>
      </c>
      <c r="C120">
        <v>-0.34848499999999999</v>
      </c>
      <c r="D120" s="5">
        <v>4.1666865999999999E-7</v>
      </c>
      <c r="E120">
        <v>3.7308317000000001E-2</v>
      </c>
      <c r="F120">
        <v>-3.0547999999999999E-2</v>
      </c>
      <c r="G120" t="s">
        <v>24</v>
      </c>
      <c r="I120">
        <f t="shared" si="8"/>
        <v>-0.34848541666866001</v>
      </c>
      <c r="J120">
        <f t="shared" si="7"/>
        <v>3.7307900331340002E-2</v>
      </c>
      <c r="K120">
        <f t="shared" si="9"/>
        <v>-3.0548416668659997E-2</v>
      </c>
    </row>
    <row r="121" spans="1:11" x14ac:dyDescent="0.35">
      <c r="A121" t="s">
        <v>142</v>
      </c>
      <c r="B121">
        <v>89692</v>
      </c>
      <c r="C121">
        <v>0.30232500000000001</v>
      </c>
      <c r="D121" s="5">
        <v>2.7777887000000002E-7</v>
      </c>
      <c r="E121">
        <v>2.0212193999999999E-2</v>
      </c>
      <c r="F121">
        <v>-4.8820000000000001E-3</v>
      </c>
      <c r="G121" t="s">
        <v>24</v>
      </c>
      <c r="I121">
        <f t="shared" si="8"/>
        <v>0.30232472222112999</v>
      </c>
      <c r="J121">
        <f t="shared" si="7"/>
        <v>2.021191622113E-2</v>
      </c>
      <c r="K121">
        <f t="shared" si="9"/>
        <v>-4.8822777788699997E-3</v>
      </c>
    </row>
    <row r="122" spans="1:11" x14ac:dyDescent="0.35">
      <c r="A122" t="s">
        <v>143</v>
      </c>
      <c r="B122">
        <v>89692</v>
      </c>
      <c r="C122">
        <v>7.143E-3</v>
      </c>
      <c r="D122" s="5">
        <v>1.1111283999999999E-6</v>
      </c>
      <c r="E122">
        <v>-3.5814726999999998E-3</v>
      </c>
      <c r="F122">
        <v>1.3112E-2</v>
      </c>
      <c r="G122" t="s">
        <v>24</v>
      </c>
      <c r="I122">
        <f t="shared" si="8"/>
        <v>7.1418888716000004E-3</v>
      </c>
      <c r="J122">
        <f t="shared" si="7"/>
        <v>-3.5825838283999999E-3</v>
      </c>
      <c r="K122">
        <f t="shared" si="9"/>
        <v>1.31108888716E-2</v>
      </c>
    </row>
    <row r="123" spans="1:11" x14ac:dyDescent="0.35">
      <c r="A123" t="s">
        <v>144</v>
      </c>
      <c r="B123">
        <v>89692</v>
      </c>
      <c r="C123">
        <v>0.202128</v>
      </c>
      <c r="D123" s="5">
        <v>4.1666856999999999E-7</v>
      </c>
      <c r="E123">
        <v>-2.7105996E-2</v>
      </c>
      <c r="F123">
        <v>8.6899000000000004E-2</v>
      </c>
      <c r="G123" t="s">
        <v>24</v>
      </c>
      <c r="I123">
        <f t="shared" si="8"/>
        <v>0.20212758333142999</v>
      </c>
      <c r="J123">
        <f t="shared" si="7"/>
        <v>-2.7106412668570001E-2</v>
      </c>
      <c r="K123">
        <f t="shared" si="9"/>
        <v>8.689858333143001E-2</v>
      </c>
    </row>
    <row r="124" spans="1:11" x14ac:dyDescent="0.35">
      <c r="A124" t="s">
        <v>145</v>
      </c>
      <c r="B124">
        <v>89692</v>
      </c>
      <c r="C124">
        <v>-0.162242</v>
      </c>
      <c r="D124" s="5">
        <v>4.1666901999999998E-7</v>
      </c>
      <c r="E124">
        <v>5.6000657000000002E-2</v>
      </c>
      <c r="F124">
        <v>-5.9052E-2</v>
      </c>
      <c r="G124" t="s">
        <v>24</v>
      </c>
      <c r="I124">
        <f t="shared" si="8"/>
        <v>-0.16224241666902001</v>
      </c>
      <c r="J124">
        <f t="shared" si="7"/>
        <v>5.600024033098E-2</v>
      </c>
      <c r="K124">
        <f t="shared" si="9"/>
        <v>-5.9052416669020003E-2</v>
      </c>
    </row>
    <row r="125" spans="1:11" x14ac:dyDescent="0.35">
      <c r="A125" t="s">
        <v>146</v>
      </c>
      <c r="B125">
        <v>89692</v>
      </c>
      <c r="C125">
        <v>-0.21126800000000001</v>
      </c>
      <c r="D125" s="5">
        <v>6.9445092999999996E-7</v>
      </c>
      <c r="E125">
        <v>-1.0326237E-2</v>
      </c>
      <c r="F125">
        <v>-2.1521999999999999E-2</v>
      </c>
      <c r="G125" t="s">
        <v>24</v>
      </c>
      <c r="I125">
        <f t="shared" si="8"/>
        <v>-0.21126869445093002</v>
      </c>
      <c r="J125">
        <f t="shared" si="7"/>
        <v>-1.0326931450930001E-2</v>
      </c>
      <c r="K125">
        <f t="shared" si="9"/>
        <v>-2.152269445093E-2</v>
      </c>
    </row>
    <row r="126" spans="1:11" x14ac:dyDescent="0.35">
      <c r="A126" t="s">
        <v>147</v>
      </c>
      <c r="B126">
        <v>89692</v>
      </c>
      <c r="C126">
        <v>8.4820999999999994E-2</v>
      </c>
      <c r="D126" s="5">
        <v>6.9444996999999997E-7</v>
      </c>
      <c r="E126">
        <v>8.6387536000000001E-3</v>
      </c>
      <c r="F126">
        <v>-1.6720000000000001E-3</v>
      </c>
      <c r="G126" t="s">
        <v>24</v>
      </c>
      <c r="I126">
        <f t="shared" si="8"/>
        <v>8.4820305550029992E-2</v>
      </c>
      <c r="J126">
        <f t="shared" si="7"/>
        <v>8.6380591500300006E-3</v>
      </c>
      <c r="K126">
        <f t="shared" si="9"/>
        <v>-1.67269444997E-3</v>
      </c>
    </row>
    <row r="127" spans="1:11" x14ac:dyDescent="0.35">
      <c r="A127" t="s">
        <v>148</v>
      </c>
      <c r="B127">
        <v>89692</v>
      </c>
      <c r="C127">
        <v>-3.2922E-2</v>
      </c>
      <c r="D127" s="5">
        <v>-1.3888861999999999E-7</v>
      </c>
      <c r="E127">
        <v>1.0356373E-2</v>
      </c>
      <c r="F127">
        <v>5.5519999999999996E-3</v>
      </c>
      <c r="G127" t="s">
        <v>24</v>
      </c>
      <c r="I127">
        <f t="shared" si="8"/>
        <v>-3.2921861111379999E-2</v>
      </c>
      <c r="J127">
        <f t="shared" si="7"/>
        <v>1.0356511888620001E-2</v>
      </c>
      <c r="K127">
        <f t="shared" si="9"/>
        <v>5.5521388886199995E-3</v>
      </c>
    </row>
    <row r="128" spans="1:11" x14ac:dyDescent="0.35">
      <c r="A128" t="s">
        <v>149</v>
      </c>
      <c r="B128">
        <v>89692</v>
      </c>
      <c r="C128">
        <v>-1.2766E-2</v>
      </c>
      <c r="D128" s="5">
        <v>2.7777881000000001E-7</v>
      </c>
      <c r="E128">
        <v>-1.9239652999999999E-2</v>
      </c>
      <c r="F128">
        <v>-1.5162E-2</v>
      </c>
      <c r="G128" t="s">
        <v>24</v>
      </c>
      <c r="I128">
        <f t="shared" si="8"/>
        <v>-1.276627777881E-2</v>
      </c>
      <c r="J128">
        <f t="shared" si="7"/>
        <v>-1.9239930778809998E-2</v>
      </c>
      <c r="K128">
        <f t="shared" si="9"/>
        <v>-1.5162277778810001E-2</v>
      </c>
    </row>
    <row r="129" spans="1:11" x14ac:dyDescent="0.35">
      <c r="A129" t="s">
        <v>150</v>
      </c>
      <c r="B129">
        <v>89692</v>
      </c>
      <c r="C129">
        <v>-0.21551699999999999</v>
      </c>
      <c r="D129" s="5">
        <v>1.3888911E-7</v>
      </c>
      <c r="E129">
        <v>1.2304676000000001E-2</v>
      </c>
      <c r="F129">
        <v>-6.6210000000000005E-2</v>
      </c>
      <c r="G129" t="s">
        <v>24</v>
      </c>
      <c r="I129">
        <f t="shared" si="8"/>
        <v>-0.21551713888910998</v>
      </c>
      <c r="J129">
        <f t="shared" si="7"/>
        <v>1.2304537110890001E-2</v>
      </c>
      <c r="K129">
        <f t="shared" si="9"/>
        <v>-6.621013888911001E-2</v>
      </c>
    </row>
    <row r="130" spans="1:11" x14ac:dyDescent="0.35">
      <c r="A130" t="s">
        <v>151</v>
      </c>
      <c r="B130">
        <v>89692</v>
      </c>
      <c r="C130">
        <v>-1.6483999999999999E-2</v>
      </c>
      <c r="D130" s="5">
        <v>8.3334270999999995E-7</v>
      </c>
      <c r="E130">
        <v>-6.0059883000000001E-2</v>
      </c>
      <c r="F130">
        <v>3.7072000000000001E-2</v>
      </c>
      <c r="G130" t="s">
        <v>24</v>
      </c>
      <c r="I130">
        <f t="shared" si="8"/>
        <v>-1.648483334271E-2</v>
      </c>
      <c r="J130">
        <f t="shared" si="7"/>
        <v>-6.0060716342709999E-2</v>
      </c>
      <c r="K130">
        <f t="shared" si="9"/>
        <v>3.7071166657290003E-2</v>
      </c>
    </row>
    <row r="131" spans="1:11" x14ac:dyDescent="0.35">
      <c r="A131" t="s">
        <v>152</v>
      </c>
      <c r="B131">
        <v>89692</v>
      </c>
      <c r="C131">
        <v>-3.9106000000000002E-2</v>
      </c>
      <c r="D131" s="5">
        <v>2.7777869999999999E-7</v>
      </c>
      <c r="E131">
        <v>-3.3820637000000001E-2</v>
      </c>
      <c r="F131">
        <v>-1.8010999999999999E-2</v>
      </c>
      <c r="G131" t="s">
        <v>24</v>
      </c>
      <c r="I131">
        <f t="shared" si="8"/>
        <v>-3.9106277778700002E-2</v>
      </c>
      <c r="J131">
        <f t="shared" si="7"/>
        <v>-3.3820914778700001E-2</v>
      </c>
      <c r="K131">
        <f t="shared" si="9"/>
        <v>-1.8011277778699999E-2</v>
      </c>
    </row>
    <row r="132" spans="1:11" x14ac:dyDescent="0.35">
      <c r="A132" t="s">
        <v>153</v>
      </c>
      <c r="B132">
        <v>89692</v>
      </c>
      <c r="C132">
        <v>0.168605</v>
      </c>
      <c r="D132" s="5">
        <v>-2.7777693000000002E-7</v>
      </c>
      <c r="E132">
        <v>7.4186891000000005E-2</v>
      </c>
      <c r="F132">
        <v>2.2834E-2</v>
      </c>
      <c r="G132" t="s">
        <v>24</v>
      </c>
      <c r="I132">
        <f t="shared" si="8"/>
        <v>0.16860527777693002</v>
      </c>
      <c r="J132">
        <f t="shared" ref="J132:J182" si="10">E132-D132</f>
        <v>7.4187168776930004E-2</v>
      </c>
      <c r="K132">
        <f t="shared" si="9"/>
        <v>2.283427777693E-2</v>
      </c>
    </row>
    <row r="133" spans="1:11" x14ac:dyDescent="0.35">
      <c r="A133" t="s">
        <v>154</v>
      </c>
      <c r="B133">
        <v>89692</v>
      </c>
      <c r="C133">
        <v>-4.4776000000000003E-2</v>
      </c>
      <c r="D133" s="5">
        <v>2.7777887000000002E-7</v>
      </c>
      <c r="E133">
        <v>6.7570386000000001E-3</v>
      </c>
      <c r="F133">
        <v>-6.7520999999999998E-2</v>
      </c>
      <c r="G133" t="s">
        <v>24</v>
      </c>
      <c r="I133">
        <f t="shared" si="8"/>
        <v>-4.4776277778870006E-2</v>
      </c>
      <c r="J133">
        <f t="shared" si="10"/>
        <v>6.7567608211300005E-3</v>
      </c>
      <c r="K133">
        <f t="shared" si="9"/>
        <v>-6.7521277778870001E-2</v>
      </c>
    </row>
    <row r="134" spans="1:11" x14ac:dyDescent="0.35">
      <c r="A134" t="s">
        <v>155</v>
      </c>
      <c r="B134">
        <v>89692</v>
      </c>
      <c r="C134">
        <v>-5.2082999999999997E-2</v>
      </c>
      <c r="D134" s="5">
        <v>2.7778703E-6</v>
      </c>
      <c r="E134">
        <v>-2.2346674E-2</v>
      </c>
      <c r="F134">
        <v>-4.5129999999999997E-3</v>
      </c>
      <c r="G134" t="s">
        <v>24</v>
      </c>
      <c r="I134">
        <f t="shared" si="8"/>
        <v>-5.2085777870299999E-2</v>
      </c>
      <c r="J134">
        <f t="shared" si="10"/>
        <v>-2.2349451870300002E-2</v>
      </c>
      <c r="K134">
        <f t="shared" si="9"/>
        <v>-4.5157778702999999E-3</v>
      </c>
    </row>
    <row r="135" spans="1:11" x14ac:dyDescent="0.35">
      <c r="A135" t="s">
        <v>156</v>
      </c>
      <c r="B135">
        <v>89692</v>
      </c>
      <c r="C135">
        <v>-9.8901000000000003E-2</v>
      </c>
      <c r="D135" s="5">
        <v>3.8891008000000001E-6</v>
      </c>
      <c r="E135">
        <v>-5.6998282999999997E-2</v>
      </c>
      <c r="F135">
        <v>5.4101999999999997E-2</v>
      </c>
      <c r="G135" t="s">
        <v>24</v>
      </c>
      <c r="I135">
        <f t="shared" si="8"/>
        <v>-9.8904889100800003E-2</v>
      </c>
      <c r="J135">
        <f t="shared" si="10"/>
        <v>-5.7002172100799997E-2</v>
      </c>
      <c r="K135">
        <f t="shared" si="9"/>
        <v>5.4098110899199997E-2</v>
      </c>
    </row>
    <row r="136" spans="1:11" x14ac:dyDescent="0.35">
      <c r="A136" t="s">
        <v>157</v>
      </c>
      <c r="B136">
        <v>89692</v>
      </c>
      <c r="C136">
        <v>0.79268300000000003</v>
      </c>
      <c r="D136" s="5">
        <v>6.2505273000000001E-6</v>
      </c>
      <c r="E136">
        <v>6.8726775000000002E-4</v>
      </c>
      <c r="F136">
        <v>0.10931200000000001</v>
      </c>
      <c r="G136" t="s">
        <v>24</v>
      </c>
      <c r="I136">
        <f t="shared" si="8"/>
        <v>0.79267674947270006</v>
      </c>
      <c r="J136">
        <f t="shared" si="10"/>
        <v>6.8101722270000006E-4</v>
      </c>
      <c r="K136">
        <f t="shared" si="9"/>
        <v>0.10930574947270001</v>
      </c>
    </row>
    <row r="137" spans="1:11" x14ac:dyDescent="0.35">
      <c r="A137" t="s">
        <v>158</v>
      </c>
      <c r="B137">
        <v>89692</v>
      </c>
      <c r="C137">
        <v>0.15646299999999999</v>
      </c>
      <c r="D137" s="5">
        <v>6.2504687000000001E-6</v>
      </c>
      <c r="E137">
        <v>7.0505328000000006E-2</v>
      </c>
      <c r="F137">
        <v>-8.4290000000000007E-3</v>
      </c>
      <c r="G137" t="s">
        <v>24</v>
      </c>
      <c r="I137">
        <f t="shared" ref="I137:I182" si="11">C137-D137</f>
        <v>0.15645674953129998</v>
      </c>
      <c r="J137">
        <f t="shared" si="10"/>
        <v>7.0499077531300011E-2</v>
      </c>
      <c r="K137">
        <f t="shared" ref="K137:K182" si="12">F137-D137</f>
        <v>-8.4352504687000007E-3</v>
      </c>
    </row>
    <row r="138" spans="1:11" x14ac:dyDescent="0.35">
      <c r="A138" t="s">
        <v>159</v>
      </c>
      <c r="B138">
        <v>89692</v>
      </c>
      <c r="C138">
        <v>0.67647000000000002</v>
      </c>
      <c r="D138" s="5">
        <v>4.7225344000000004E-6</v>
      </c>
      <c r="E138">
        <v>1.1831184E-2</v>
      </c>
      <c r="F138">
        <v>5.1088000000000001E-2</v>
      </c>
      <c r="G138" t="s">
        <v>24</v>
      </c>
      <c r="I138">
        <f t="shared" si="11"/>
        <v>0.67646527746560003</v>
      </c>
      <c r="J138">
        <f t="shared" si="10"/>
        <v>1.1826461465599999E-2</v>
      </c>
      <c r="K138">
        <f t="shared" si="12"/>
        <v>5.1083277465599999E-2</v>
      </c>
    </row>
    <row r="139" spans="1:11" x14ac:dyDescent="0.35">
      <c r="A139" t="s">
        <v>160</v>
      </c>
      <c r="B139">
        <v>89692</v>
      </c>
      <c r="C139">
        <v>-0.25263200000000002</v>
      </c>
      <c r="D139" s="5">
        <v>4.3058058000000002E-6</v>
      </c>
      <c r="E139">
        <v>1.4391575E-2</v>
      </c>
      <c r="F139">
        <v>-6.1383E-2</v>
      </c>
      <c r="G139" t="s">
        <v>24</v>
      </c>
      <c r="I139">
        <f t="shared" si="11"/>
        <v>-0.25263630580580004</v>
      </c>
      <c r="J139">
        <f t="shared" si="10"/>
        <v>1.4387269194200001E-2</v>
      </c>
      <c r="K139">
        <f t="shared" si="12"/>
        <v>-6.1387305805799999E-2</v>
      </c>
    </row>
    <row r="140" spans="1:11" x14ac:dyDescent="0.35">
      <c r="A140" t="s">
        <v>161</v>
      </c>
      <c r="B140">
        <v>89692</v>
      </c>
      <c r="C140">
        <v>0.14788699999999999</v>
      </c>
      <c r="D140" s="5">
        <v>5.0002877000000001E-6</v>
      </c>
      <c r="E140">
        <v>3.1732204000000002E-3</v>
      </c>
      <c r="F140">
        <v>8.9694999999999997E-2</v>
      </c>
      <c r="G140" t="s">
        <v>24</v>
      </c>
      <c r="I140">
        <f t="shared" si="11"/>
        <v>0.14788199971229998</v>
      </c>
      <c r="J140">
        <f t="shared" si="10"/>
        <v>3.1682201123000003E-3</v>
      </c>
      <c r="K140">
        <f t="shared" si="12"/>
        <v>8.9689999712300003E-2</v>
      </c>
    </row>
    <row r="141" spans="1:11" x14ac:dyDescent="0.35">
      <c r="A141" t="s">
        <v>162</v>
      </c>
      <c r="B141">
        <v>89692</v>
      </c>
      <c r="C141">
        <v>5.7259999999999998E-2</v>
      </c>
      <c r="D141" s="5">
        <v>5.1392584999999999E-6</v>
      </c>
      <c r="E141">
        <v>3.8786817000000001E-2</v>
      </c>
      <c r="F141">
        <v>1.9847E-2</v>
      </c>
      <c r="G141" t="s">
        <v>24</v>
      </c>
      <c r="I141">
        <f t="shared" si="11"/>
        <v>5.7254860741499998E-2</v>
      </c>
      <c r="J141">
        <f t="shared" si="10"/>
        <v>3.8781677741500001E-2</v>
      </c>
      <c r="K141">
        <f t="shared" si="12"/>
        <v>1.98418607415E-2</v>
      </c>
    </row>
    <row r="142" spans="1:11" x14ac:dyDescent="0.35">
      <c r="A142" t="s">
        <v>163</v>
      </c>
      <c r="B142">
        <v>89692</v>
      </c>
      <c r="C142">
        <v>-0.22824</v>
      </c>
      <c r="D142" s="5">
        <v>5.0003378000000001E-6</v>
      </c>
      <c r="E142">
        <v>2.7987469999999999E-3</v>
      </c>
      <c r="F142">
        <v>-3.2563000000000002E-2</v>
      </c>
      <c r="G142" t="s">
        <v>24</v>
      </c>
      <c r="I142">
        <f t="shared" si="11"/>
        <v>-0.22824500033779999</v>
      </c>
      <c r="J142">
        <f t="shared" si="10"/>
        <v>2.7937466621999999E-3</v>
      </c>
      <c r="K142">
        <f t="shared" si="12"/>
        <v>-3.2568000337800003E-2</v>
      </c>
    </row>
    <row r="143" spans="1:11" x14ac:dyDescent="0.35">
      <c r="A143" t="s">
        <v>164</v>
      </c>
      <c r="B143">
        <v>89692</v>
      </c>
      <c r="C143">
        <v>5.5138E-2</v>
      </c>
      <c r="D143" s="5">
        <v>6.8060649000000001E-6</v>
      </c>
      <c r="E143">
        <v>3.0445021000000002E-3</v>
      </c>
      <c r="F143">
        <v>6.8919999999999997E-3</v>
      </c>
      <c r="G143" t="s">
        <v>24</v>
      </c>
      <c r="I143">
        <f t="shared" si="11"/>
        <v>5.5131193935099999E-2</v>
      </c>
      <c r="J143">
        <f t="shared" si="10"/>
        <v>3.0376960351E-3</v>
      </c>
      <c r="K143">
        <f t="shared" si="12"/>
        <v>6.8851939350999996E-3</v>
      </c>
    </row>
    <row r="144" spans="1:11" x14ac:dyDescent="0.35">
      <c r="A144" t="s">
        <v>165</v>
      </c>
      <c r="B144">
        <v>89692</v>
      </c>
      <c r="C144">
        <v>-8.3135000000000001E-2</v>
      </c>
      <c r="D144" s="5">
        <v>5.5559721999999998E-6</v>
      </c>
      <c r="E144">
        <v>-2.7060966999999998E-2</v>
      </c>
      <c r="F144">
        <v>-2.9448999999999999E-2</v>
      </c>
      <c r="G144" t="s">
        <v>24</v>
      </c>
      <c r="I144">
        <f t="shared" si="11"/>
        <v>-8.3140555972200006E-2</v>
      </c>
      <c r="J144">
        <f t="shared" si="10"/>
        <v>-2.7066522972199997E-2</v>
      </c>
      <c r="K144">
        <f t="shared" si="12"/>
        <v>-2.9454555972199998E-2</v>
      </c>
    </row>
    <row r="145" spans="1:11" x14ac:dyDescent="0.35">
      <c r="A145" t="s">
        <v>166</v>
      </c>
      <c r="B145">
        <v>89692</v>
      </c>
      <c r="C145">
        <v>-0.14766799999999999</v>
      </c>
      <c r="D145" s="5">
        <v>5.0003127000000001E-6</v>
      </c>
      <c r="E145">
        <v>4.0418684000000003E-2</v>
      </c>
      <c r="F145">
        <v>-8.3566000000000001E-2</v>
      </c>
      <c r="G145" t="s">
        <v>24</v>
      </c>
      <c r="I145">
        <f t="shared" si="11"/>
        <v>-0.1476730003127</v>
      </c>
      <c r="J145">
        <f t="shared" si="10"/>
        <v>4.04136836873E-2</v>
      </c>
      <c r="K145">
        <f t="shared" si="12"/>
        <v>-8.3571000312699997E-2</v>
      </c>
    </row>
    <row r="146" spans="1:11" x14ac:dyDescent="0.35">
      <c r="A146" t="s">
        <v>167</v>
      </c>
      <c r="B146">
        <v>89692</v>
      </c>
      <c r="C146">
        <v>-5.4711000000000003E-2</v>
      </c>
      <c r="D146" s="5">
        <v>6.9449747999999996E-6</v>
      </c>
      <c r="E146">
        <v>1.8747913000000001E-2</v>
      </c>
      <c r="F146">
        <v>-1.915E-2</v>
      </c>
      <c r="G146" t="s">
        <v>24</v>
      </c>
      <c r="I146">
        <f t="shared" si="11"/>
        <v>-5.4717944974800002E-2</v>
      </c>
      <c r="J146">
        <f t="shared" si="10"/>
        <v>1.8740968025200002E-2</v>
      </c>
      <c r="K146">
        <f t="shared" si="12"/>
        <v>-1.91569449748E-2</v>
      </c>
    </row>
    <row r="147" spans="1:11" x14ac:dyDescent="0.35">
      <c r="A147" t="s">
        <v>168</v>
      </c>
      <c r="B147">
        <v>89692</v>
      </c>
      <c r="C147">
        <v>0.25401899999999999</v>
      </c>
      <c r="D147" s="5">
        <v>1.2502110000000001E-5</v>
      </c>
      <c r="E147">
        <v>2.2173285000000001E-2</v>
      </c>
      <c r="F147">
        <v>5.4191999999999997E-2</v>
      </c>
      <c r="G147" t="s">
        <v>24</v>
      </c>
      <c r="I147">
        <f t="shared" si="11"/>
        <v>0.25400649789000002</v>
      </c>
      <c r="J147">
        <f t="shared" si="10"/>
        <v>2.2160782890000001E-2</v>
      </c>
      <c r="K147">
        <f t="shared" si="12"/>
        <v>5.4179497889999997E-2</v>
      </c>
    </row>
    <row r="148" spans="1:11" x14ac:dyDescent="0.35">
      <c r="A148" t="s">
        <v>169</v>
      </c>
      <c r="B148">
        <v>89692</v>
      </c>
      <c r="C148">
        <v>-9.2308000000000001E-2</v>
      </c>
      <c r="D148" s="5">
        <v>1.3057516E-5</v>
      </c>
      <c r="E148">
        <v>3.2628167E-2</v>
      </c>
      <c r="F148">
        <v>3.1848000000000001E-2</v>
      </c>
      <c r="G148" t="s">
        <v>24</v>
      </c>
      <c r="I148">
        <f t="shared" si="11"/>
        <v>-9.2321057516000005E-2</v>
      </c>
      <c r="J148">
        <f t="shared" si="10"/>
        <v>3.2615109484000003E-2</v>
      </c>
      <c r="K148">
        <f t="shared" si="12"/>
        <v>3.1834942484000005E-2</v>
      </c>
    </row>
    <row r="149" spans="1:11" x14ac:dyDescent="0.35">
      <c r="A149" t="s">
        <v>170</v>
      </c>
      <c r="B149">
        <v>89692</v>
      </c>
      <c r="C149">
        <v>-8.4749999999999999E-3</v>
      </c>
      <c r="D149" s="5">
        <v>1.2223941E-5</v>
      </c>
      <c r="E149">
        <v>2.0500966000000002E-3</v>
      </c>
      <c r="F149">
        <v>-4.2770000000000004E-3</v>
      </c>
      <c r="G149" t="s">
        <v>24</v>
      </c>
      <c r="I149">
        <f t="shared" si="11"/>
        <v>-8.4872239410000005E-3</v>
      </c>
      <c r="J149">
        <f t="shared" si="10"/>
        <v>2.037872659E-3</v>
      </c>
      <c r="K149">
        <f t="shared" si="12"/>
        <v>-4.2892239410000001E-3</v>
      </c>
    </row>
    <row r="150" spans="1:11" x14ac:dyDescent="0.35">
      <c r="A150" t="s">
        <v>171</v>
      </c>
      <c r="B150">
        <v>89692</v>
      </c>
      <c r="C150">
        <v>-5.6979999999999999E-3</v>
      </c>
      <c r="D150" s="5">
        <v>2.0088781000000001E-5</v>
      </c>
      <c r="E150">
        <v>9.6190701999999996E-3</v>
      </c>
      <c r="F150">
        <v>1.7267000000000001E-2</v>
      </c>
      <c r="G150" t="s">
        <v>24</v>
      </c>
      <c r="I150">
        <f t="shared" si="11"/>
        <v>-5.7180887809999996E-3</v>
      </c>
      <c r="J150">
        <f t="shared" si="10"/>
        <v>9.5989814189999991E-3</v>
      </c>
      <c r="K150">
        <f t="shared" si="12"/>
        <v>1.7246911219000002E-2</v>
      </c>
    </row>
    <row r="151" spans="1:11" x14ac:dyDescent="0.35">
      <c r="A151" t="s">
        <v>172</v>
      </c>
      <c r="B151">
        <v>89692</v>
      </c>
      <c r="C151">
        <v>0.234957</v>
      </c>
      <c r="D151" s="5">
        <v>1.8337871999999999E-5</v>
      </c>
      <c r="E151">
        <v>9.3579440999999996E-3</v>
      </c>
      <c r="F151">
        <v>-1.242E-3</v>
      </c>
      <c r="G151" t="s">
        <v>24</v>
      </c>
      <c r="I151">
        <f t="shared" si="11"/>
        <v>0.23493866212799999</v>
      </c>
      <c r="J151">
        <f t="shared" si="10"/>
        <v>9.3396062279999994E-3</v>
      </c>
      <c r="K151">
        <f t="shared" si="12"/>
        <v>-1.260337872E-3</v>
      </c>
    </row>
    <row r="152" spans="1:11" x14ac:dyDescent="0.35">
      <c r="A152" t="s">
        <v>173</v>
      </c>
      <c r="B152">
        <v>89692</v>
      </c>
      <c r="C152">
        <v>-5.5683999999999997E-2</v>
      </c>
      <c r="D152" s="5">
        <v>2.0282302999999999E-5</v>
      </c>
      <c r="E152">
        <v>9.6782167000000006E-3</v>
      </c>
      <c r="F152">
        <v>-2.1555000000000001E-2</v>
      </c>
      <c r="G152" t="s">
        <v>24</v>
      </c>
      <c r="I152">
        <f t="shared" si="11"/>
        <v>-5.5704282302999994E-2</v>
      </c>
      <c r="J152">
        <f t="shared" si="10"/>
        <v>9.6579343970000005E-3</v>
      </c>
      <c r="K152">
        <f t="shared" si="12"/>
        <v>-2.1575282303000001E-2</v>
      </c>
    </row>
    <row r="153" spans="1:11" x14ac:dyDescent="0.35">
      <c r="A153" t="s">
        <v>174</v>
      </c>
      <c r="B153">
        <v>89692</v>
      </c>
      <c r="C153">
        <v>1.2285000000000001E-2</v>
      </c>
      <c r="D153" s="5">
        <v>2.2784785000000001E-5</v>
      </c>
      <c r="E153">
        <v>1.7181420999999999E-2</v>
      </c>
      <c r="F153">
        <v>2.3132E-2</v>
      </c>
      <c r="G153" t="s">
        <v>24</v>
      </c>
      <c r="I153">
        <f t="shared" si="11"/>
        <v>1.2262215215E-2</v>
      </c>
      <c r="J153">
        <f t="shared" si="10"/>
        <v>1.7158636214999998E-2</v>
      </c>
      <c r="K153">
        <f t="shared" si="12"/>
        <v>2.3109215214999999E-2</v>
      </c>
    </row>
    <row r="154" spans="1:11" x14ac:dyDescent="0.35">
      <c r="A154" t="s">
        <v>175</v>
      </c>
      <c r="B154">
        <v>89692</v>
      </c>
      <c r="C154">
        <v>0.106796</v>
      </c>
      <c r="D154" s="5">
        <v>2.6814181E-5</v>
      </c>
      <c r="E154">
        <v>1.6129673E-3</v>
      </c>
      <c r="F154">
        <v>4.1987999999999998E-2</v>
      </c>
      <c r="G154" t="s">
        <v>24</v>
      </c>
      <c r="I154">
        <f t="shared" si="11"/>
        <v>0.106769185819</v>
      </c>
      <c r="J154">
        <f t="shared" si="10"/>
        <v>1.586153119E-3</v>
      </c>
      <c r="K154">
        <f t="shared" si="12"/>
        <v>4.1961185818999998E-2</v>
      </c>
    </row>
    <row r="155" spans="1:11" x14ac:dyDescent="0.35">
      <c r="A155" t="s">
        <v>176</v>
      </c>
      <c r="B155">
        <v>89692</v>
      </c>
      <c r="C155">
        <v>-7.0175000000000001E-2</v>
      </c>
      <c r="D155" s="5">
        <v>2.4980956E-5</v>
      </c>
      <c r="E155">
        <v>2.3813292E-2</v>
      </c>
      <c r="F155">
        <v>-3.3699E-2</v>
      </c>
      <c r="G155" t="s">
        <v>24</v>
      </c>
      <c r="I155">
        <f t="shared" si="11"/>
        <v>-7.0199980955999997E-2</v>
      </c>
      <c r="J155">
        <f t="shared" si="10"/>
        <v>2.3788311044000001E-2</v>
      </c>
      <c r="K155">
        <f t="shared" si="12"/>
        <v>-3.3723980956000002E-2</v>
      </c>
    </row>
    <row r="156" spans="1:11" x14ac:dyDescent="0.35">
      <c r="A156" t="s">
        <v>177</v>
      </c>
      <c r="B156">
        <v>89692</v>
      </c>
      <c r="C156">
        <v>-6.8395999999999998E-2</v>
      </c>
      <c r="D156" s="5">
        <v>2.6120319999999999E-5</v>
      </c>
      <c r="E156">
        <v>2.134813E-2</v>
      </c>
      <c r="F156">
        <v>-7.4850000000000003E-3</v>
      </c>
      <c r="G156" t="s">
        <v>24</v>
      </c>
      <c r="I156">
        <f t="shared" si="11"/>
        <v>-6.8422120320000002E-2</v>
      </c>
      <c r="J156">
        <f t="shared" si="10"/>
        <v>2.132200968E-2</v>
      </c>
      <c r="K156">
        <f t="shared" si="12"/>
        <v>-7.5111203200000001E-3</v>
      </c>
    </row>
    <row r="157" spans="1:11" x14ac:dyDescent="0.35">
      <c r="A157" t="s">
        <v>178</v>
      </c>
      <c r="B157">
        <v>89692</v>
      </c>
      <c r="C157">
        <v>5.3164999999999997E-2</v>
      </c>
      <c r="D157" s="5">
        <v>2.6814181E-5</v>
      </c>
      <c r="E157">
        <v>2.7409703000000001E-2</v>
      </c>
      <c r="F157">
        <v>3.5630000000000002E-3</v>
      </c>
      <c r="G157" t="s">
        <v>24</v>
      </c>
      <c r="I157">
        <f t="shared" si="11"/>
        <v>5.3138185818999997E-2</v>
      </c>
      <c r="J157">
        <f t="shared" si="10"/>
        <v>2.7382888819000001E-2</v>
      </c>
      <c r="K157">
        <f t="shared" si="12"/>
        <v>3.536185819E-3</v>
      </c>
    </row>
    <row r="158" spans="1:11" x14ac:dyDescent="0.35">
      <c r="A158" t="s">
        <v>179</v>
      </c>
      <c r="B158">
        <v>89692</v>
      </c>
      <c r="C158">
        <v>3.8462000000000003E-2</v>
      </c>
      <c r="D158" s="5">
        <v>3.0985658999999998E-5</v>
      </c>
      <c r="E158">
        <v>1.2286760000000001E-2</v>
      </c>
      <c r="F158">
        <v>2.1056999999999999E-2</v>
      </c>
      <c r="G158" t="s">
        <v>24</v>
      </c>
      <c r="I158">
        <f t="shared" si="11"/>
        <v>3.8431014341000005E-2</v>
      </c>
      <c r="J158">
        <f t="shared" si="10"/>
        <v>1.2255774341000001E-2</v>
      </c>
      <c r="K158">
        <f t="shared" si="12"/>
        <v>2.1026014340999998E-2</v>
      </c>
    </row>
    <row r="159" spans="1:11" x14ac:dyDescent="0.35">
      <c r="A159" t="s">
        <v>180</v>
      </c>
      <c r="B159">
        <v>89692</v>
      </c>
      <c r="C159">
        <v>2.3149999999999998E-3</v>
      </c>
      <c r="D159" s="5">
        <v>3.4738506999999999E-5</v>
      </c>
      <c r="E159">
        <v>5.0687826999999998E-2</v>
      </c>
      <c r="F159">
        <v>3.2349000000000003E-2</v>
      </c>
      <c r="G159" t="s">
        <v>24</v>
      </c>
      <c r="I159">
        <f t="shared" si="11"/>
        <v>2.2802614929999998E-3</v>
      </c>
      <c r="J159">
        <f t="shared" si="10"/>
        <v>5.0653088493000001E-2</v>
      </c>
      <c r="K159">
        <f t="shared" si="12"/>
        <v>3.2314261493000006E-2</v>
      </c>
    </row>
    <row r="160" spans="1:11" x14ac:dyDescent="0.35">
      <c r="A160" t="s">
        <v>181</v>
      </c>
      <c r="B160">
        <v>89692</v>
      </c>
      <c r="C160">
        <v>-0.17321</v>
      </c>
      <c r="D160" s="5">
        <v>3.2789600999999998E-5</v>
      </c>
      <c r="E160">
        <v>-3.9435158999999997E-2</v>
      </c>
      <c r="F160">
        <v>-2.0760000000000001E-2</v>
      </c>
      <c r="G160" t="s">
        <v>24</v>
      </c>
      <c r="I160">
        <f t="shared" si="11"/>
        <v>-0.17324278960100001</v>
      </c>
      <c r="J160">
        <f t="shared" si="10"/>
        <v>-3.9467948600999996E-2</v>
      </c>
      <c r="K160">
        <f t="shared" si="12"/>
        <v>-2.0792789601000002E-2</v>
      </c>
    </row>
    <row r="161" spans="1:11" x14ac:dyDescent="0.35">
      <c r="A161" t="s">
        <v>182</v>
      </c>
      <c r="B161">
        <v>89692</v>
      </c>
      <c r="C161">
        <v>0.103352</v>
      </c>
      <c r="D161" s="5">
        <v>3.7376473999999999E-5</v>
      </c>
      <c r="E161">
        <v>-1.8494523999999998E-2</v>
      </c>
      <c r="F161">
        <v>6.3200000000000001E-3</v>
      </c>
      <c r="G161" t="s">
        <v>24</v>
      </c>
      <c r="I161">
        <f t="shared" si="11"/>
        <v>0.103314623526</v>
      </c>
      <c r="J161">
        <f t="shared" si="10"/>
        <v>-1.8531900473999999E-2</v>
      </c>
      <c r="K161">
        <f t="shared" si="12"/>
        <v>6.2826235259999998E-3</v>
      </c>
    </row>
    <row r="162" spans="1:11" x14ac:dyDescent="0.35">
      <c r="A162" t="s">
        <v>183</v>
      </c>
      <c r="B162">
        <v>89692</v>
      </c>
      <c r="C162">
        <v>-1.7722000000000002E-2</v>
      </c>
      <c r="D162" s="5">
        <v>4.4472123E-5</v>
      </c>
      <c r="E162">
        <v>4.8402747999999997E-3</v>
      </c>
      <c r="F162">
        <v>-9.5399999999999999E-3</v>
      </c>
      <c r="G162" t="s">
        <v>24</v>
      </c>
      <c r="I162">
        <f t="shared" si="11"/>
        <v>-1.7766472123000001E-2</v>
      </c>
      <c r="J162">
        <f t="shared" si="10"/>
        <v>4.7958026769999995E-3</v>
      </c>
      <c r="K162">
        <f t="shared" si="12"/>
        <v>-9.5844721229999992E-3</v>
      </c>
    </row>
    <row r="163" spans="1:11" x14ac:dyDescent="0.35">
      <c r="A163" t="s">
        <v>184</v>
      </c>
      <c r="B163">
        <v>89692</v>
      </c>
      <c r="C163">
        <v>-7.2165000000000007E-2</v>
      </c>
      <c r="D163" s="5">
        <v>4.5024317000000002E-5</v>
      </c>
      <c r="E163">
        <v>2.6277516000000001E-2</v>
      </c>
      <c r="F163">
        <v>-1.1958999999999999E-2</v>
      </c>
      <c r="G163" t="s">
        <v>24</v>
      </c>
      <c r="I163">
        <f t="shared" si="11"/>
        <v>-7.2210024317000007E-2</v>
      </c>
      <c r="J163">
        <f t="shared" si="10"/>
        <v>2.6232491683E-2</v>
      </c>
      <c r="K163">
        <f t="shared" si="12"/>
        <v>-1.2004024316999999E-2</v>
      </c>
    </row>
    <row r="164" spans="1:11" x14ac:dyDescent="0.35">
      <c r="A164" t="s">
        <v>185</v>
      </c>
      <c r="B164">
        <v>89692</v>
      </c>
      <c r="C164">
        <v>4.4443999999999997E-2</v>
      </c>
      <c r="D164" s="5">
        <v>4.7670687999999998E-5</v>
      </c>
      <c r="E164">
        <v>5.2912380000000002E-3</v>
      </c>
      <c r="F164">
        <v>-3.6149000000000001E-2</v>
      </c>
      <c r="G164" t="s">
        <v>24</v>
      </c>
      <c r="I164">
        <f t="shared" si="11"/>
        <v>4.4396329312E-2</v>
      </c>
      <c r="J164">
        <f t="shared" si="10"/>
        <v>5.2435673119999998E-3</v>
      </c>
      <c r="K164">
        <f t="shared" si="12"/>
        <v>-3.6196670687999997E-2</v>
      </c>
    </row>
    <row r="165" spans="1:11" x14ac:dyDescent="0.35">
      <c r="A165" t="s">
        <v>186</v>
      </c>
      <c r="B165">
        <v>89692</v>
      </c>
      <c r="C165">
        <v>-4.2553000000000001E-2</v>
      </c>
      <c r="D165" s="5">
        <v>4.8086759999999999E-5</v>
      </c>
      <c r="E165">
        <v>3.1689063000000003E-2</v>
      </c>
      <c r="F165">
        <v>-2.2419000000000001E-2</v>
      </c>
      <c r="G165" t="s">
        <v>24</v>
      </c>
      <c r="I165">
        <f t="shared" si="11"/>
        <v>-4.2601086760000004E-2</v>
      </c>
      <c r="J165">
        <f t="shared" si="10"/>
        <v>3.164097624E-2</v>
      </c>
      <c r="K165">
        <f t="shared" si="12"/>
        <v>-2.2467086760000001E-2</v>
      </c>
    </row>
    <row r="166" spans="1:11" x14ac:dyDescent="0.35">
      <c r="A166" t="s">
        <v>187</v>
      </c>
      <c r="B166">
        <v>89692</v>
      </c>
      <c r="C166">
        <v>-0.16666700000000001</v>
      </c>
      <c r="D166" s="5">
        <v>5.1975497999999999E-5</v>
      </c>
      <c r="E166">
        <v>3.0351875E-2</v>
      </c>
      <c r="F166">
        <v>-2.1381000000000001E-2</v>
      </c>
      <c r="G166" t="s">
        <v>24</v>
      </c>
      <c r="I166">
        <f t="shared" si="11"/>
        <v>-0.16671897549800002</v>
      </c>
      <c r="J166">
        <f t="shared" si="10"/>
        <v>3.0299899501999999E-2</v>
      </c>
      <c r="K166">
        <f t="shared" si="12"/>
        <v>-2.1432975498000002E-2</v>
      </c>
    </row>
    <row r="167" spans="1:11" x14ac:dyDescent="0.35">
      <c r="A167" t="s">
        <v>188</v>
      </c>
      <c r="B167">
        <v>89692</v>
      </c>
      <c r="C167">
        <v>-0.1</v>
      </c>
      <c r="D167" s="5">
        <v>5.2954507000000002E-5</v>
      </c>
      <c r="E167">
        <v>4.7995379999999998E-4</v>
      </c>
      <c r="F167">
        <v>-6.607E-3</v>
      </c>
      <c r="G167" t="s">
        <v>24</v>
      </c>
      <c r="I167">
        <f t="shared" si="11"/>
        <v>-0.10005295450700001</v>
      </c>
      <c r="J167">
        <f t="shared" si="10"/>
        <v>4.2699929299999998E-4</v>
      </c>
      <c r="K167">
        <f t="shared" si="12"/>
        <v>-6.6599545070000002E-3</v>
      </c>
    </row>
    <row r="168" spans="1:11" x14ac:dyDescent="0.35">
      <c r="A168" t="s">
        <v>189</v>
      </c>
      <c r="B168">
        <v>89692</v>
      </c>
      <c r="C168">
        <v>-4.0740999999999999E-2</v>
      </c>
      <c r="D168" s="5">
        <v>5.7961999000000002E-5</v>
      </c>
      <c r="E168">
        <v>-7.2749645000000002E-2</v>
      </c>
      <c r="F168">
        <v>2.1194999999999999E-2</v>
      </c>
      <c r="G168" t="s">
        <v>24</v>
      </c>
      <c r="I168">
        <f t="shared" si="11"/>
        <v>-4.0798961999000002E-2</v>
      </c>
      <c r="J168">
        <f t="shared" si="10"/>
        <v>-7.2807606999000005E-2</v>
      </c>
      <c r="K168">
        <f t="shared" si="12"/>
        <v>2.1137038000999999E-2</v>
      </c>
    </row>
    <row r="169" spans="1:11" x14ac:dyDescent="0.35">
      <c r="A169" t="s">
        <v>190</v>
      </c>
      <c r="B169">
        <v>89692</v>
      </c>
      <c r="C169">
        <v>4.6331999999999998E-2</v>
      </c>
      <c r="D169" s="5">
        <v>5.9763279E-5</v>
      </c>
      <c r="E169">
        <v>4.4112142E-2</v>
      </c>
      <c r="F169">
        <v>3.3869999999999998E-3</v>
      </c>
      <c r="G169" t="s">
        <v>24</v>
      </c>
      <c r="I169">
        <f t="shared" si="11"/>
        <v>4.6272236720999997E-2</v>
      </c>
      <c r="J169">
        <f t="shared" si="10"/>
        <v>4.4052378720999999E-2</v>
      </c>
      <c r="K169">
        <f t="shared" si="12"/>
        <v>3.3272367209999996E-3</v>
      </c>
    </row>
    <row r="170" spans="1:11" x14ac:dyDescent="0.35">
      <c r="A170" t="s">
        <v>191</v>
      </c>
      <c r="B170">
        <v>89692</v>
      </c>
      <c r="C170">
        <v>0.195572</v>
      </c>
      <c r="D170" s="5">
        <v>6.1300699999999994E-5</v>
      </c>
      <c r="E170">
        <v>-7.4872575999999996E-2</v>
      </c>
      <c r="F170">
        <v>4.9419999999999999E-2</v>
      </c>
      <c r="G170" t="s">
        <v>24</v>
      </c>
      <c r="I170">
        <f t="shared" si="11"/>
        <v>0.19551069930000001</v>
      </c>
      <c r="J170">
        <f t="shared" si="10"/>
        <v>-7.4933876699999999E-2</v>
      </c>
      <c r="K170">
        <f t="shared" si="12"/>
        <v>4.9358699299999996E-2</v>
      </c>
    </row>
    <row r="171" spans="1:11" x14ac:dyDescent="0.35">
      <c r="A171" t="s">
        <v>192</v>
      </c>
      <c r="B171">
        <v>89692</v>
      </c>
      <c r="C171">
        <v>3.7037E-2</v>
      </c>
      <c r="D171" s="5">
        <v>6.2691921000000006E-5</v>
      </c>
      <c r="E171">
        <v>8.8008939999999994E-2</v>
      </c>
      <c r="F171">
        <v>2.8865999999999999E-2</v>
      </c>
      <c r="G171" t="s">
        <v>24</v>
      </c>
      <c r="I171">
        <f t="shared" si="11"/>
        <v>3.6974308078999998E-2</v>
      </c>
      <c r="J171">
        <f t="shared" si="10"/>
        <v>8.7946248078999992E-2</v>
      </c>
      <c r="K171">
        <f t="shared" si="12"/>
        <v>2.8803308079000001E-2</v>
      </c>
    </row>
    <row r="172" spans="1:11" x14ac:dyDescent="0.35">
      <c r="A172" t="s">
        <v>193</v>
      </c>
      <c r="B172">
        <v>89692</v>
      </c>
      <c r="C172">
        <v>-8.9289999999999994E-3</v>
      </c>
      <c r="D172" s="5">
        <v>6.5894084000000006E-5</v>
      </c>
      <c r="E172">
        <v>3.2714512000000001E-2</v>
      </c>
      <c r="F172">
        <v>-6.0920000000000002E-3</v>
      </c>
      <c r="G172" t="s">
        <v>24</v>
      </c>
      <c r="I172">
        <f t="shared" si="11"/>
        <v>-8.9948940839999995E-3</v>
      </c>
      <c r="J172">
        <f t="shared" si="10"/>
        <v>3.2648617916000003E-2</v>
      </c>
      <c r="K172">
        <f t="shared" si="12"/>
        <v>-6.1578940840000002E-3</v>
      </c>
    </row>
    <row r="173" spans="1:11" x14ac:dyDescent="0.35">
      <c r="A173" t="s">
        <v>194</v>
      </c>
      <c r="B173">
        <v>89692</v>
      </c>
      <c r="C173">
        <v>3.3033E-2</v>
      </c>
      <c r="D173" s="5">
        <v>6.4920080999999997E-5</v>
      </c>
      <c r="E173">
        <v>1.3366196E-2</v>
      </c>
      <c r="F173">
        <v>-1.5969000000000001E-2</v>
      </c>
      <c r="G173" t="s">
        <v>24</v>
      </c>
      <c r="I173">
        <f t="shared" si="11"/>
        <v>3.2968079918999998E-2</v>
      </c>
      <c r="J173">
        <f t="shared" si="10"/>
        <v>1.3301275919000001E-2</v>
      </c>
      <c r="K173">
        <f t="shared" si="12"/>
        <v>-1.6033920081000002E-2</v>
      </c>
    </row>
    <row r="174" spans="1:11" x14ac:dyDescent="0.35">
      <c r="A174" t="s">
        <v>195</v>
      </c>
      <c r="B174">
        <v>89692</v>
      </c>
      <c r="C174">
        <v>-7.5580999999999995E-2</v>
      </c>
      <c r="D174" s="5">
        <v>6.4361448000000001E-5</v>
      </c>
      <c r="E174">
        <v>3.7867329999999998E-2</v>
      </c>
      <c r="F174">
        <v>-6.6389999999999999E-3</v>
      </c>
      <c r="G174" t="s">
        <v>24</v>
      </c>
      <c r="I174">
        <f t="shared" si="11"/>
        <v>-7.5645361447999993E-2</v>
      </c>
      <c r="J174">
        <f t="shared" si="10"/>
        <v>3.7802968552000001E-2</v>
      </c>
      <c r="K174">
        <f t="shared" si="12"/>
        <v>-6.7033614479999996E-3</v>
      </c>
    </row>
    <row r="175" spans="1:11" x14ac:dyDescent="0.35">
      <c r="A175" t="s">
        <v>196</v>
      </c>
      <c r="B175">
        <v>89692</v>
      </c>
      <c r="C175">
        <v>2.8302000000000001E-2</v>
      </c>
      <c r="D175" s="5">
        <v>6.5744126999999993E-5</v>
      </c>
      <c r="E175">
        <v>-6.1593663E-2</v>
      </c>
      <c r="F175">
        <v>1.7573999999999999E-2</v>
      </c>
      <c r="G175" t="s">
        <v>24</v>
      </c>
      <c r="I175">
        <f t="shared" si="11"/>
        <v>2.8236255873E-2</v>
      </c>
      <c r="J175">
        <f t="shared" si="10"/>
        <v>-6.1659407127E-2</v>
      </c>
      <c r="K175">
        <f t="shared" si="12"/>
        <v>1.7508255872999999E-2</v>
      </c>
    </row>
    <row r="176" spans="1:11" x14ac:dyDescent="0.35">
      <c r="A176" t="s">
        <v>197</v>
      </c>
      <c r="B176">
        <v>89692</v>
      </c>
      <c r="C176">
        <v>0.18654399999999999</v>
      </c>
      <c r="D176" s="5">
        <v>6.2413674000000004E-5</v>
      </c>
      <c r="E176">
        <v>6.7385903999999996E-2</v>
      </c>
      <c r="F176">
        <v>8.0029000000000003E-2</v>
      </c>
      <c r="G176" t="s">
        <v>24</v>
      </c>
      <c r="I176">
        <f t="shared" si="11"/>
        <v>0.18648158632599998</v>
      </c>
      <c r="J176">
        <f t="shared" si="10"/>
        <v>6.7323490325999991E-2</v>
      </c>
      <c r="K176">
        <f t="shared" si="12"/>
        <v>7.9966586325999997E-2</v>
      </c>
    </row>
    <row r="177" spans="1:11" x14ac:dyDescent="0.35">
      <c r="A177" t="s">
        <v>198</v>
      </c>
      <c r="B177">
        <v>89692</v>
      </c>
      <c r="C177">
        <v>3.6082000000000003E-2</v>
      </c>
      <c r="D177" s="5">
        <v>5.4067222999999999E-5</v>
      </c>
      <c r="E177">
        <v>1.3151872E-2</v>
      </c>
      <c r="F177">
        <v>7.4999999999999993E-5</v>
      </c>
      <c r="G177" t="s">
        <v>24</v>
      </c>
      <c r="I177">
        <f t="shared" si="11"/>
        <v>3.6027932777000005E-2</v>
      </c>
      <c r="J177">
        <f t="shared" si="10"/>
        <v>1.3097804777E-2</v>
      </c>
      <c r="K177">
        <f t="shared" si="12"/>
        <v>2.0932776999999994E-5</v>
      </c>
    </row>
    <row r="178" spans="1:11" x14ac:dyDescent="0.35">
      <c r="A178" t="s">
        <v>199</v>
      </c>
      <c r="B178">
        <v>89692</v>
      </c>
      <c r="C178">
        <v>0.236318</v>
      </c>
      <c r="D178" s="5">
        <v>5.5450476999999997E-5</v>
      </c>
      <c r="E178">
        <v>-2.0256182000000001E-2</v>
      </c>
      <c r="F178">
        <v>7.9122999999999999E-2</v>
      </c>
      <c r="G178" t="s">
        <v>24</v>
      </c>
      <c r="I178">
        <f t="shared" si="11"/>
        <v>0.23626254952299999</v>
      </c>
      <c r="J178">
        <f t="shared" si="10"/>
        <v>-2.0311632477000002E-2</v>
      </c>
      <c r="K178">
        <f t="shared" si="12"/>
        <v>7.9067549523000005E-2</v>
      </c>
    </row>
    <row r="179" spans="1:11" x14ac:dyDescent="0.35">
      <c r="A179" t="s">
        <v>200</v>
      </c>
      <c r="B179">
        <v>89692</v>
      </c>
      <c r="C179">
        <v>-7.4446999999999999E-2</v>
      </c>
      <c r="D179" s="5">
        <v>5.3928131999999997E-5</v>
      </c>
      <c r="E179">
        <v>1.5959764000000001E-2</v>
      </c>
      <c r="F179">
        <v>-3.3947999999999999E-2</v>
      </c>
      <c r="G179" t="s">
        <v>24</v>
      </c>
      <c r="I179">
        <f t="shared" si="11"/>
        <v>-7.4500928132000002E-2</v>
      </c>
      <c r="J179">
        <f t="shared" si="10"/>
        <v>1.5905835868000002E-2</v>
      </c>
      <c r="K179">
        <f t="shared" si="12"/>
        <v>-3.4001928132000002E-2</v>
      </c>
    </row>
    <row r="180" spans="1:11" x14ac:dyDescent="0.35">
      <c r="A180" t="s">
        <v>201</v>
      </c>
      <c r="B180">
        <v>89692</v>
      </c>
      <c r="C180">
        <v>5.4348E-2</v>
      </c>
      <c r="D180" s="5">
        <v>4.7833000000000001E-5</v>
      </c>
      <c r="E180">
        <v>2.0895692E-2</v>
      </c>
      <c r="F180">
        <v>2.5635000000000002E-2</v>
      </c>
      <c r="G180" t="s">
        <v>24</v>
      </c>
      <c r="I180">
        <f t="shared" si="11"/>
        <v>5.4300167000000003E-2</v>
      </c>
      <c r="J180">
        <f t="shared" si="10"/>
        <v>2.0847859E-2</v>
      </c>
      <c r="K180">
        <f t="shared" si="12"/>
        <v>2.5587167000000001E-2</v>
      </c>
    </row>
    <row r="181" spans="1:11" x14ac:dyDescent="0.35">
      <c r="A181" t="s">
        <v>202</v>
      </c>
      <c r="B181">
        <v>89692</v>
      </c>
      <c r="C181">
        <v>-0.10721600000000001</v>
      </c>
      <c r="D181" s="5">
        <v>4.0996583E-5</v>
      </c>
      <c r="E181">
        <v>3.6646235999999999E-2</v>
      </c>
      <c r="F181">
        <v>-3.2086000000000003E-2</v>
      </c>
      <c r="G181" t="s">
        <v>24</v>
      </c>
      <c r="I181">
        <f t="shared" si="11"/>
        <v>-0.107256996583</v>
      </c>
      <c r="J181">
        <f t="shared" si="10"/>
        <v>3.6605239417000002E-2</v>
      </c>
      <c r="K181">
        <f t="shared" si="12"/>
        <v>-3.2126996583E-2</v>
      </c>
    </row>
    <row r="182" spans="1:11" x14ac:dyDescent="0.35">
      <c r="A182" t="s">
        <v>203</v>
      </c>
      <c r="B182">
        <v>89692</v>
      </c>
      <c r="C182">
        <v>9.4687999999999994E-2</v>
      </c>
      <c r="D182" s="5">
        <v>4.2802500999999998E-5</v>
      </c>
      <c r="E182">
        <v>2.8492387000000001E-2</v>
      </c>
      <c r="F182">
        <v>3.6559000000000001E-2</v>
      </c>
      <c r="G182" t="s">
        <v>24</v>
      </c>
      <c r="I182">
        <f t="shared" si="11"/>
        <v>9.4645197498999994E-2</v>
      </c>
      <c r="J182">
        <f t="shared" si="10"/>
        <v>2.8449584499000001E-2</v>
      </c>
      <c r="K182">
        <f t="shared" si="12"/>
        <v>3.6516197499000001E-2</v>
      </c>
    </row>
    <row r="184" spans="1:11" x14ac:dyDescent="0.35">
      <c r="A184" t="s">
        <v>23</v>
      </c>
      <c r="B184">
        <v>86341</v>
      </c>
      <c r="C184">
        <v>-9.8487000000000005E-2</v>
      </c>
      <c r="D184" s="5">
        <v>4.7948841000000003E-5</v>
      </c>
      <c r="E184">
        <v>-2.6517817999999999E-2</v>
      </c>
      <c r="F184">
        <v>-3.6073000000000001E-2</v>
      </c>
      <c r="G184" t="s">
        <v>204</v>
      </c>
      <c r="I184">
        <f t="shared" ref="I184" si="13">C184-D184</f>
        <v>-9.8534948841000003E-2</v>
      </c>
      <c r="J184">
        <f t="shared" ref="J184" si="14">E184-D184</f>
        <v>-2.6565766841E-2</v>
      </c>
      <c r="K184">
        <f t="shared" ref="K184" si="15">F184-D184</f>
        <v>-3.6120948840999999E-2</v>
      </c>
    </row>
    <row r="185" spans="1:11" x14ac:dyDescent="0.35">
      <c r="A185" t="s">
        <v>25</v>
      </c>
      <c r="B185">
        <v>86341</v>
      </c>
      <c r="C185">
        <v>0.106918</v>
      </c>
      <c r="D185" s="5">
        <v>5.5244941999999998E-5</v>
      </c>
      <c r="E185">
        <v>2.2697801E-2</v>
      </c>
      <c r="F185">
        <v>3.0790999999999999E-2</v>
      </c>
      <c r="G185" t="s">
        <v>204</v>
      </c>
      <c r="I185">
        <f t="shared" ref="I185:I248" si="16">C185-D185</f>
        <v>0.106862755058</v>
      </c>
      <c r="J185">
        <f t="shared" ref="J185:J248" si="17">E185-D185</f>
        <v>2.2642556058000002E-2</v>
      </c>
      <c r="K185">
        <f t="shared" ref="K185:K248" si="18">F185-D185</f>
        <v>3.0735755058000001E-2</v>
      </c>
    </row>
    <row r="186" spans="1:11" x14ac:dyDescent="0.35">
      <c r="A186" t="s">
        <v>26</v>
      </c>
      <c r="B186">
        <v>86341</v>
      </c>
      <c r="C186">
        <v>-4.2257000000000003E-2</v>
      </c>
      <c r="D186" s="5">
        <v>6.8319866999999999E-5</v>
      </c>
      <c r="E186">
        <v>-1.6850591000000002E-2</v>
      </c>
      <c r="F186">
        <v>-1.6084999999999999E-2</v>
      </c>
      <c r="G186" t="s">
        <v>204</v>
      </c>
      <c r="I186">
        <f t="shared" si="16"/>
        <v>-4.2325319867E-2</v>
      </c>
      <c r="J186">
        <f t="shared" si="17"/>
        <v>-1.6918910867000002E-2</v>
      </c>
      <c r="K186">
        <f t="shared" si="18"/>
        <v>-1.6153319866999999E-2</v>
      </c>
    </row>
    <row r="187" spans="1:11" x14ac:dyDescent="0.35">
      <c r="A187" t="s">
        <v>27</v>
      </c>
      <c r="B187">
        <v>86341</v>
      </c>
      <c r="C187">
        <v>-7.7504000000000003E-2</v>
      </c>
      <c r="D187" s="5">
        <v>7.1599496999999996E-5</v>
      </c>
      <c r="E187">
        <v>-2.5221592000000001E-2</v>
      </c>
      <c r="F187">
        <v>1.2377000000000001E-2</v>
      </c>
      <c r="G187" t="s">
        <v>204</v>
      </c>
      <c r="I187">
        <f t="shared" si="16"/>
        <v>-7.7575599497000006E-2</v>
      </c>
      <c r="J187">
        <f t="shared" si="17"/>
        <v>-2.5293191497E-2</v>
      </c>
      <c r="K187">
        <f t="shared" si="18"/>
        <v>1.2305400503E-2</v>
      </c>
    </row>
    <row r="188" spans="1:11" x14ac:dyDescent="0.35">
      <c r="A188" t="s">
        <v>28</v>
      </c>
      <c r="B188">
        <v>86341</v>
      </c>
      <c r="C188">
        <v>8.0554000000000001E-2</v>
      </c>
      <c r="D188" s="5">
        <v>7.3475609999999999E-5</v>
      </c>
      <c r="E188">
        <v>3.7993193000000001E-2</v>
      </c>
      <c r="F188">
        <v>-3.9216000000000001E-2</v>
      </c>
      <c r="G188" t="s">
        <v>204</v>
      </c>
      <c r="I188">
        <f t="shared" si="16"/>
        <v>8.0480524390000002E-2</v>
      </c>
      <c r="J188">
        <f t="shared" si="17"/>
        <v>3.7919717390000003E-2</v>
      </c>
      <c r="K188">
        <f t="shared" si="18"/>
        <v>-3.9289475609999999E-2</v>
      </c>
    </row>
    <row r="189" spans="1:11" x14ac:dyDescent="0.35">
      <c r="A189" t="s">
        <v>29</v>
      </c>
      <c r="B189">
        <v>86341</v>
      </c>
      <c r="C189">
        <v>4.0478E-2</v>
      </c>
      <c r="D189" s="5">
        <v>7.5899545000000004E-5</v>
      </c>
      <c r="E189">
        <v>1.1474352E-2</v>
      </c>
      <c r="F189">
        <v>4.2977000000000001E-2</v>
      </c>
      <c r="G189" t="s">
        <v>204</v>
      </c>
      <c r="I189">
        <f t="shared" si="16"/>
        <v>4.0402100454999999E-2</v>
      </c>
      <c r="J189">
        <f t="shared" si="17"/>
        <v>1.1398452454999999E-2</v>
      </c>
      <c r="K189">
        <f t="shared" si="18"/>
        <v>4.2901100455000001E-2</v>
      </c>
    </row>
    <row r="190" spans="1:11" x14ac:dyDescent="0.35">
      <c r="A190" t="s">
        <v>30</v>
      </c>
      <c r="B190">
        <v>86341</v>
      </c>
      <c r="C190">
        <v>-3.7782999999999997E-2</v>
      </c>
      <c r="D190" s="5">
        <v>8.1133752000000001E-5</v>
      </c>
      <c r="E190">
        <v>4.3326780000000002E-2</v>
      </c>
      <c r="F190">
        <v>-1.4272999999999999E-2</v>
      </c>
      <c r="G190" t="s">
        <v>204</v>
      </c>
      <c r="I190">
        <f t="shared" si="16"/>
        <v>-3.7864133751999998E-2</v>
      </c>
      <c r="J190">
        <f t="shared" si="17"/>
        <v>4.3245646248000001E-2</v>
      </c>
      <c r="K190">
        <f t="shared" si="18"/>
        <v>-1.4354133751999999E-2</v>
      </c>
    </row>
    <row r="191" spans="1:11" x14ac:dyDescent="0.35">
      <c r="A191" t="s">
        <v>31</v>
      </c>
      <c r="B191">
        <v>86341</v>
      </c>
      <c r="C191">
        <v>3.9876000000000002E-2</v>
      </c>
      <c r="D191" s="5">
        <v>8.8369225999999999E-5</v>
      </c>
      <c r="E191">
        <v>-6.0141183999999999E-3</v>
      </c>
      <c r="F191">
        <v>1.3545E-2</v>
      </c>
      <c r="G191" t="s">
        <v>204</v>
      </c>
      <c r="I191">
        <f t="shared" si="16"/>
        <v>3.9787630774E-2</v>
      </c>
      <c r="J191">
        <f t="shared" si="17"/>
        <v>-6.1024876260000003E-3</v>
      </c>
      <c r="K191">
        <f t="shared" si="18"/>
        <v>1.3456630774E-2</v>
      </c>
    </row>
    <row r="192" spans="1:11" x14ac:dyDescent="0.35">
      <c r="A192" t="s">
        <v>32</v>
      </c>
      <c r="B192">
        <v>86341</v>
      </c>
      <c r="C192">
        <v>0.19583</v>
      </c>
      <c r="D192" s="5">
        <v>9.2246314999999999E-5</v>
      </c>
      <c r="E192">
        <v>1.0593396999999999E-2</v>
      </c>
      <c r="F192">
        <v>7.6036999999999993E-2</v>
      </c>
      <c r="G192" t="s">
        <v>204</v>
      </c>
      <c r="I192">
        <f t="shared" si="16"/>
        <v>0.19573775368500002</v>
      </c>
      <c r="J192">
        <f t="shared" si="17"/>
        <v>1.0501150684999998E-2</v>
      </c>
      <c r="K192">
        <f t="shared" si="18"/>
        <v>7.5944753684999991E-2</v>
      </c>
    </row>
    <row r="193" spans="1:11" x14ac:dyDescent="0.35">
      <c r="A193" t="s">
        <v>33</v>
      </c>
      <c r="B193">
        <v>86341</v>
      </c>
      <c r="C193">
        <v>-7.8699000000000005E-2</v>
      </c>
      <c r="D193" s="5">
        <v>8.5793734000000005E-5</v>
      </c>
      <c r="E193">
        <v>-1.3740894999999999E-2</v>
      </c>
      <c r="F193">
        <v>-6.424E-3</v>
      </c>
      <c r="G193" t="s">
        <v>204</v>
      </c>
      <c r="I193">
        <f t="shared" si="16"/>
        <v>-7.8784793734000005E-2</v>
      </c>
      <c r="J193">
        <f t="shared" si="17"/>
        <v>-1.3826688734E-2</v>
      </c>
      <c r="K193">
        <f t="shared" si="18"/>
        <v>-6.5097937340000004E-3</v>
      </c>
    </row>
    <row r="194" spans="1:11" x14ac:dyDescent="0.35">
      <c r="A194" t="s">
        <v>34</v>
      </c>
      <c r="B194">
        <v>86341</v>
      </c>
      <c r="C194">
        <v>7.6981999999999995E-2</v>
      </c>
      <c r="D194" s="5">
        <v>1.0221382E-4</v>
      </c>
      <c r="E194">
        <v>3.4165464E-2</v>
      </c>
      <c r="F194">
        <v>5.8189999999999999E-2</v>
      </c>
      <c r="G194" t="s">
        <v>204</v>
      </c>
      <c r="I194">
        <f t="shared" si="16"/>
        <v>7.6879786179999993E-2</v>
      </c>
      <c r="J194">
        <f t="shared" si="17"/>
        <v>3.4063250179999997E-2</v>
      </c>
      <c r="K194">
        <f t="shared" si="18"/>
        <v>5.8087786179999996E-2</v>
      </c>
    </row>
    <row r="195" spans="1:11" x14ac:dyDescent="0.35">
      <c r="A195" t="s">
        <v>35</v>
      </c>
      <c r="B195">
        <v>86341</v>
      </c>
      <c r="C195">
        <v>0.171456</v>
      </c>
      <c r="D195" s="5">
        <v>1.0811459E-4</v>
      </c>
      <c r="E195">
        <v>3.4972754999999999E-3</v>
      </c>
      <c r="F195">
        <v>5.0508999999999998E-2</v>
      </c>
      <c r="G195" t="s">
        <v>204</v>
      </c>
      <c r="I195">
        <f t="shared" si="16"/>
        <v>0.17134788540999998</v>
      </c>
      <c r="J195">
        <f t="shared" si="17"/>
        <v>3.3891609099999998E-3</v>
      </c>
      <c r="K195">
        <f t="shared" si="18"/>
        <v>5.0400885409999999E-2</v>
      </c>
    </row>
    <row r="196" spans="1:11" x14ac:dyDescent="0.35">
      <c r="A196" t="s">
        <v>36</v>
      </c>
      <c r="B196">
        <v>86341</v>
      </c>
      <c r="C196">
        <v>0.24021899999999999</v>
      </c>
      <c r="D196" s="5">
        <v>1.0946717E-4</v>
      </c>
      <c r="E196">
        <v>4.0057152999999998E-2</v>
      </c>
      <c r="F196">
        <v>9.9263000000000004E-2</v>
      </c>
      <c r="G196" t="s">
        <v>204</v>
      </c>
      <c r="I196">
        <f t="shared" si="16"/>
        <v>0.24010953283</v>
      </c>
      <c r="J196">
        <f t="shared" si="17"/>
        <v>3.9947685829999996E-2</v>
      </c>
      <c r="K196">
        <f t="shared" si="18"/>
        <v>9.9153532830000002E-2</v>
      </c>
    </row>
    <row r="197" spans="1:11" x14ac:dyDescent="0.35">
      <c r="A197" t="s">
        <v>37</v>
      </c>
      <c r="B197">
        <v>86341</v>
      </c>
      <c r="C197">
        <v>-0.16770199999999999</v>
      </c>
      <c r="D197" s="5">
        <v>1.1473459E-4</v>
      </c>
      <c r="E197">
        <v>-1.6283552E-3</v>
      </c>
      <c r="F197">
        <v>-1.1110999999999999E-2</v>
      </c>
      <c r="G197" t="s">
        <v>204</v>
      </c>
      <c r="I197">
        <f t="shared" si="16"/>
        <v>-0.16781673458999999</v>
      </c>
      <c r="J197">
        <f t="shared" si="17"/>
        <v>-1.7430897900000001E-3</v>
      </c>
      <c r="K197">
        <f t="shared" si="18"/>
        <v>-1.122573459E-2</v>
      </c>
    </row>
    <row r="198" spans="1:11" x14ac:dyDescent="0.35">
      <c r="A198" t="s">
        <v>38</v>
      </c>
      <c r="B198">
        <v>86341</v>
      </c>
      <c r="C198">
        <v>6.4781000000000005E-2</v>
      </c>
      <c r="D198" s="5">
        <v>1.2225505E-4</v>
      </c>
      <c r="E198">
        <v>1.8970178000000001E-2</v>
      </c>
      <c r="F198">
        <v>3.6205000000000001E-2</v>
      </c>
      <c r="G198" t="s">
        <v>204</v>
      </c>
      <c r="I198">
        <f t="shared" si="16"/>
        <v>6.4658744949999999E-2</v>
      </c>
      <c r="J198">
        <f t="shared" si="17"/>
        <v>1.8847922950000002E-2</v>
      </c>
      <c r="K198">
        <f t="shared" si="18"/>
        <v>3.6082744950000002E-2</v>
      </c>
    </row>
    <row r="199" spans="1:11" x14ac:dyDescent="0.35">
      <c r="A199" t="s">
        <v>39</v>
      </c>
      <c r="B199">
        <v>86341</v>
      </c>
      <c r="C199">
        <v>1.0347E-2</v>
      </c>
      <c r="D199" s="5">
        <v>1.2702313E-4</v>
      </c>
      <c r="E199">
        <v>1.3077589000000001E-2</v>
      </c>
      <c r="F199">
        <v>0.12031</v>
      </c>
      <c r="G199" t="s">
        <v>204</v>
      </c>
      <c r="I199">
        <f t="shared" si="16"/>
        <v>1.021997687E-2</v>
      </c>
      <c r="J199">
        <f t="shared" si="17"/>
        <v>1.295056587E-2</v>
      </c>
      <c r="K199">
        <f t="shared" si="18"/>
        <v>0.12018297687</v>
      </c>
    </row>
    <row r="200" spans="1:11" x14ac:dyDescent="0.35">
      <c r="A200" t="s">
        <v>40</v>
      </c>
      <c r="B200">
        <v>86341</v>
      </c>
      <c r="C200">
        <v>-0.15453500000000001</v>
      </c>
      <c r="D200" s="5">
        <v>1.2549012999999999E-4</v>
      </c>
      <c r="E200">
        <v>-3.10251E-2</v>
      </c>
      <c r="F200">
        <v>-1.3212E-2</v>
      </c>
      <c r="G200" t="s">
        <v>204</v>
      </c>
      <c r="I200">
        <f t="shared" si="16"/>
        <v>-0.15466049012999999</v>
      </c>
      <c r="J200">
        <f t="shared" si="17"/>
        <v>-3.1150590129999999E-2</v>
      </c>
      <c r="K200">
        <f t="shared" si="18"/>
        <v>-1.3337490129999999E-2</v>
      </c>
    </row>
    <row r="201" spans="1:11" x14ac:dyDescent="0.35">
      <c r="A201" t="s">
        <v>41</v>
      </c>
      <c r="B201">
        <v>86341</v>
      </c>
      <c r="C201">
        <v>4.0883000000000003E-2</v>
      </c>
      <c r="D201" s="5">
        <v>1.2976839000000001E-4</v>
      </c>
      <c r="E201">
        <v>-3.1822989999999999E-4</v>
      </c>
      <c r="F201">
        <v>-4.6706999999999999E-2</v>
      </c>
      <c r="G201" t="s">
        <v>204</v>
      </c>
      <c r="I201">
        <f t="shared" si="16"/>
        <v>4.0753231610000003E-2</v>
      </c>
      <c r="J201">
        <f t="shared" si="17"/>
        <v>-4.4799829E-4</v>
      </c>
      <c r="K201">
        <f t="shared" si="18"/>
        <v>-4.6836768389999998E-2</v>
      </c>
    </row>
    <row r="202" spans="1:11" x14ac:dyDescent="0.35">
      <c r="A202" t="s">
        <v>42</v>
      </c>
      <c r="B202">
        <v>86341</v>
      </c>
      <c r="C202">
        <v>9.7669999999999996E-3</v>
      </c>
      <c r="D202" s="5">
        <v>1.2228312999999999E-4</v>
      </c>
      <c r="E202">
        <v>-9.6833464000000008E-3</v>
      </c>
      <c r="F202">
        <v>3.1521E-2</v>
      </c>
      <c r="G202" t="s">
        <v>204</v>
      </c>
      <c r="I202">
        <f t="shared" si="16"/>
        <v>9.6447168700000002E-3</v>
      </c>
      <c r="J202">
        <f t="shared" si="17"/>
        <v>-9.8056295300000002E-3</v>
      </c>
      <c r="K202">
        <f t="shared" si="18"/>
        <v>3.1398716870000003E-2</v>
      </c>
    </row>
    <row r="203" spans="1:11" x14ac:dyDescent="0.35">
      <c r="A203" t="s">
        <v>43</v>
      </c>
      <c r="B203">
        <v>86341</v>
      </c>
      <c r="C203">
        <v>-4.4575999999999998E-2</v>
      </c>
      <c r="D203" s="5">
        <v>1.3703064E-4</v>
      </c>
      <c r="E203">
        <v>2.5151808000000001E-2</v>
      </c>
      <c r="F203">
        <v>-1.3775000000000001E-2</v>
      </c>
      <c r="G203" t="s">
        <v>204</v>
      </c>
      <c r="I203">
        <f t="shared" si="16"/>
        <v>-4.4713030639999998E-2</v>
      </c>
      <c r="J203">
        <f t="shared" si="17"/>
        <v>2.501477736E-2</v>
      </c>
      <c r="K203">
        <f t="shared" si="18"/>
        <v>-1.3912030640000001E-2</v>
      </c>
    </row>
    <row r="204" spans="1:11" x14ac:dyDescent="0.35">
      <c r="A204" t="s">
        <v>44</v>
      </c>
      <c r="B204">
        <v>86341</v>
      </c>
      <c r="C204">
        <v>-0.18187700000000001</v>
      </c>
      <c r="D204" s="5">
        <v>1.3985681000000001E-4</v>
      </c>
      <c r="E204">
        <v>1.9410975E-2</v>
      </c>
      <c r="F204">
        <v>-4.5272E-2</v>
      </c>
      <c r="G204" t="s">
        <v>204</v>
      </c>
      <c r="I204">
        <f t="shared" si="16"/>
        <v>-0.18201685681000002</v>
      </c>
      <c r="J204">
        <f t="shared" si="17"/>
        <v>1.9271118190000002E-2</v>
      </c>
      <c r="K204">
        <f t="shared" si="18"/>
        <v>-4.5411856809999998E-2</v>
      </c>
    </row>
    <row r="205" spans="1:11" x14ac:dyDescent="0.35">
      <c r="A205" t="s">
        <v>45</v>
      </c>
      <c r="B205">
        <v>86341</v>
      </c>
      <c r="C205">
        <v>0.12798100000000001</v>
      </c>
      <c r="D205" s="5">
        <v>1.2507204999999999E-4</v>
      </c>
      <c r="E205">
        <v>3.4900713999999999E-2</v>
      </c>
      <c r="F205">
        <v>1.2947999999999999E-2</v>
      </c>
      <c r="G205" t="s">
        <v>204</v>
      </c>
      <c r="I205">
        <f t="shared" si="16"/>
        <v>0.12785592795</v>
      </c>
      <c r="J205">
        <f t="shared" si="17"/>
        <v>3.4775641949999998E-2</v>
      </c>
      <c r="K205">
        <f t="shared" si="18"/>
        <v>1.282292795E-2</v>
      </c>
    </row>
    <row r="206" spans="1:11" x14ac:dyDescent="0.35">
      <c r="A206" t="s">
        <v>46</v>
      </c>
      <c r="B206">
        <v>86341</v>
      </c>
      <c r="C206">
        <v>0.13272300000000001</v>
      </c>
      <c r="D206" s="5">
        <v>1.4148996E-4</v>
      </c>
      <c r="E206">
        <v>2.5525862E-2</v>
      </c>
      <c r="F206">
        <v>6.8890999999999994E-2</v>
      </c>
      <c r="G206" t="s">
        <v>204</v>
      </c>
      <c r="I206">
        <f t="shared" si="16"/>
        <v>0.13258151004000002</v>
      </c>
      <c r="J206">
        <f t="shared" si="17"/>
        <v>2.5384372039999999E-2</v>
      </c>
      <c r="K206">
        <f t="shared" si="18"/>
        <v>6.8749510039999989E-2</v>
      </c>
    </row>
    <row r="207" spans="1:11" x14ac:dyDescent="0.35">
      <c r="A207" t="s">
        <v>47</v>
      </c>
      <c r="B207">
        <v>86341</v>
      </c>
      <c r="C207">
        <v>-2.3434E-2</v>
      </c>
      <c r="D207" s="5">
        <v>1.4320338999999999E-4</v>
      </c>
      <c r="E207">
        <v>1.0861081E-2</v>
      </c>
      <c r="F207">
        <v>-1.8325999999999999E-2</v>
      </c>
      <c r="G207" t="s">
        <v>204</v>
      </c>
      <c r="I207">
        <f t="shared" si="16"/>
        <v>-2.3577203389999999E-2</v>
      </c>
      <c r="J207">
        <f t="shared" si="17"/>
        <v>1.0717877609999999E-2</v>
      </c>
      <c r="K207">
        <f t="shared" si="18"/>
        <v>-1.8469203389999998E-2</v>
      </c>
    </row>
    <row r="208" spans="1:11" x14ac:dyDescent="0.35">
      <c r="A208" t="s">
        <v>48</v>
      </c>
      <c r="B208">
        <v>86341</v>
      </c>
      <c r="C208">
        <v>-1.9109999999999999E-3</v>
      </c>
      <c r="D208" s="5">
        <v>1.2932273999999999E-4</v>
      </c>
      <c r="E208">
        <v>1.9592070999999999E-2</v>
      </c>
      <c r="F208">
        <v>2.5628999999999999E-2</v>
      </c>
      <c r="G208" t="s">
        <v>204</v>
      </c>
      <c r="I208">
        <f t="shared" si="16"/>
        <v>-2.0403227399999999E-3</v>
      </c>
      <c r="J208">
        <f t="shared" si="17"/>
        <v>1.9462748259999999E-2</v>
      </c>
      <c r="K208">
        <f t="shared" si="18"/>
        <v>2.5499677259999999E-2</v>
      </c>
    </row>
    <row r="209" spans="1:11" x14ac:dyDescent="0.35">
      <c r="A209" t="s">
        <v>49</v>
      </c>
      <c r="B209">
        <v>86341</v>
      </c>
      <c r="C209">
        <v>-6.0851000000000002E-2</v>
      </c>
      <c r="D209" s="5">
        <v>1.3506156E-4</v>
      </c>
      <c r="E209">
        <v>-1.4020795000000001E-2</v>
      </c>
      <c r="F209">
        <v>2.5451000000000001E-2</v>
      </c>
      <c r="G209" t="s">
        <v>204</v>
      </c>
      <c r="I209">
        <f t="shared" si="16"/>
        <v>-6.0986061559999999E-2</v>
      </c>
      <c r="J209">
        <f t="shared" si="17"/>
        <v>-1.4155856560000001E-2</v>
      </c>
      <c r="K209">
        <f t="shared" si="18"/>
        <v>2.5315938440000001E-2</v>
      </c>
    </row>
    <row r="210" spans="1:11" x14ac:dyDescent="0.35">
      <c r="A210" t="s">
        <v>50</v>
      </c>
      <c r="B210">
        <v>86341</v>
      </c>
      <c r="C210">
        <v>1.7531999999999999E-2</v>
      </c>
      <c r="D210" s="5">
        <v>1.4202721999999999E-4</v>
      </c>
      <c r="E210">
        <v>1.2952416E-2</v>
      </c>
      <c r="F210">
        <v>-1.1131E-2</v>
      </c>
      <c r="G210" t="s">
        <v>204</v>
      </c>
      <c r="I210">
        <f t="shared" si="16"/>
        <v>1.7389972779999999E-2</v>
      </c>
      <c r="J210">
        <f t="shared" si="17"/>
        <v>1.2810388779999999E-2</v>
      </c>
      <c r="K210">
        <f t="shared" si="18"/>
        <v>-1.1273027220000001E-2</v>
      </c>
    </row>
    <row r="211" spans="1:11" x14ac:dyDescent="0.35">
      <c r="A211" t="s">
        <v>51</v>
      </c>
      <c r="B211">
        <v>86341</v>
      </c>
      <c r="C211">
        <v>-4.4900000000000002E-4</v>
      </c>
      <c r="D211" s="5">
        <v>1.3845289999999999E-4</v>
      </c>
      <c r="E211">
        <v>3.9758044999999999E-2</v>
      </c>
      <c r="F211">
        <v>2.0535000000000001E-2</v>
      </c>
      <c r="G211" t="s">
        <v>204</v>
      </c>
      <c r="I211">
        <f t="shared" si="16"/>
        <v>-5.8745290000000001E-4</v>
      </c>
      <c r="J211">
        <f t="shared" si="17"/>
        <v>3.9619592099999996E-2</v>
      </c>
      <c r="K211">
        <f t="shared" si="18"/>
        <v>2.0396547100000002E-2</v>
      </c>
    </row>
    <row r="212" spans="1:11" x14ac:dyDescent="0.35">
      <c r="A212" t="s">
        <v>52</v>
      </c>
      <c r="B212">
        <v>86341</v>
      </c>
      <c r="C212">
        <v>-6.3944000000000001E-2</v>
      </c>
      <c r="D212" s="5">
        <v>1.3034255E-4</v>
      </c>
      <c r="E212">
        <v>3.8909490999999997E-2</v>
      </c>
      <c r="F212">
        <v>-2.3102999999999999E-2</v>
      </c>
      <c r="G212" t="s">
        <v>204</v>
      </c>
      <c r="I212">
        <f t="shared" si="16"/>
        <v>-6.4074342549999996E-2</v>
      </c>
      <c r="J212">
        <f t="shared" si="17"/>
        <v>3.8779148449999995E-2</v>
      </c>
      <c r="K212">
        <f t="shared" si="18"/>
        <v>-2.3233342549999998E-2</v>
      </c>
    </row>
    <row r="213" spans="1:11" x14ac:dyDescent="0.35">
      <c r="A213" t="s">
        <v>53</v>
      </c>
      <c r="B213">
        <v>86341</v>
      </c>
      <c r="C213">
        <v>-9.3479999999999994E-2</v>
      </c>
      <c r="D213" s="5">
        <v>1.3037657E-4</v>
      </c>
      <c r="E213">
        <v>-1.4821285E-2</v>
      </c>
      <c r="F213">
        <v>-1.9377999999999999E-2</v>
      </c>
      <c r="G213" t="s">
        <v>204</v>
      </c>
      <c r="I213">
        <f t="shared" si="16"/>
        <v>-9.3610376569999987E-2</v>
      </c>
      <c r="J213">
        <f t="shared" si="17"/>
        <v>-1.495166157E-2</v>
      </c>
      <c r="K213">
        <f t="shared" si="18"/>
        <v>-1.9508376569999999E-2</v>
      </c>
    </row>
    <row r="214" spans="1:11" x14ac:dyDescent="0.35">
      <c r="A214" t="s">
        <v>54</v>
      </c>
      <c r="B214">
        <v>86341</v>
      </c>
      <c r="C214">
        <v>0.11475399999999999</v>
      </c>
      <c r="D214" s="5">
        <v>1.1670869E-4</v>
      </c>
      <c r="E214">
        <v>-3.1721417000000002E-2</v>
      </c>
      <c r="F214">
        <v>2.3650000000000001E-2</v>
      </c>
      <c r="G214" t="s">
        <v>204</v>
      </c>
      <c r="I214">
        <f t="shared" si="16"/>
        <v>0.11463729131</v>
      </c>
      <c r="J214">
        <f t="shared" si="17"/>
        <v>-3.1838125690000003E-2</v>
      </c>
      <c r="K214">
        <f t="shared" si="18"/>
        <v>2.3533291309999999E-2</v>
      </c>
    </row>
    <row r="215" spans="1:11" x14ac:dyDescent="0.35">
      <c r="A215" t="s">
        <v>55</v>
      </c>
      <c r="B215">
        <v>86341</v>
      </c>
      <c r="C215">
        <v>-7.1291999999999994E-2</v>
      </c>
      <c r="D215" s="5">
        <v>1.3702123999999999E-4</v>
      </c>
      <c r="E215">
        <v>1.169362E-2</v>
      </c>
      <c r="F215">
        <v>1.1096E-2</v>
      </c>
      <c r="G215" t="s">
        <v>204</v>
      </c>
      <c r="I215">
        <f t="shared" si="16"/>
        <v>-7.1429021239999987E-2</v>
      </c>
      <c r="J215">
        <f t="shared" si="17"/>
        <v>1.155659876E-2</v>
      </c>
      <c r="K215">
        <f t="shared" si="18"/>
        <v>1.095897876E-2</v>
      </c>
    </row>
    <row r="216" spans="1:11" x14ac:dyDescent="0.35">
      <c r="A216" t="s">
        <v>56</v>
      </c>
      <c r="B216">
        <v>86341</v>
      </c>
      <c r="C216">
        <v>0.20138400000000001</v>
      </c>
      <c r="D216" s="5">
        <v>1.1455195999999999E-4</v>
      </c>
      <c r="E216">
        <v>4.0834490000000001E-2</v>
      </c>
      <c r="F216">
        <v>0.10508099999999999</v>
      </c>
      <c r="G216" t="s">
        <v>204</v>
      </c>
      <c r="I216">
        <f t="shared" si="16"/>
        <v>0.20126944804000002</v>
      </c>
      <c r="J216">
        <f t="shared" si="17"/>
        <v>4.0719938040000001E-2</v>
      </c>
      <c r="K216">
        <f t="shared" si="18"/>
        <v>0.10496644803999999</v>
      </c>
    </row>
    <row r="217" spans="1:11" x14ac:dyDescent="0.35">
      <c r="A217" t="s">
        <v>57</v>
      </c>
      <c r="B217">
        <v>86341</v>
      </c>
      <c r="C217">
        <v>-9.384E-3</v>
      </c>
      <c r="D217" s="5">
        <v>9.2476468E-5</v>
      </c>
      <c r="E217">
        <v>2.8808464999999998E-2</v>
      </c>
      <c r="F217">
        <v>6.9514000000000006E-2</v>
      </c>
      <c r="G217" t="s">
        <v>204</v>
      </c>
      <c r="I217">
        <f t="shared" si="16"/>
        <v>-9.4764764679999992E-3</v>
      </c>
      <c r="J217">
        <f t="shared" si="17"/>
        <v>2.8715988531999997E-2</v>
      </c>
      <c r="K217">
        <f t="shared" si="18"/>
        <v>6.9421523532000012E-2</v>
      </c>
    </row>
    <row r="218" spans="1:11" x14ac:dyDescent="0.35">
      <c r="A218" t="s">
        <v>58</v>
      </c>
      <c r="B218">
        <v>86341</v>
      </c>
      <c r="C218">
        <v>4.9945999999999997E-2</v>
      </c>
      <c r="D218" s="5">
        <v>1.066585E-4</v>
      </c>
      <c r="E218">
        <v>-3.5230382999999997E-2</v>
      </c>
      <c r="F218">
        <v>-1.6535000000000001E-2</v>
      </c>
      <c r="G218" t="s">
        <v>204</v>
      </c>
      <c r="I218">
        <f t="shared" si="16"/>
        <v>4.9839341499999995E-2</v>
      </c>
      <c r="J218">
        <f t="shared" si="17"/>
        <v>-3.5337041499999999E-2</v>
      </c>
      <c r="K218">
        <f t="shared" si="18"/>
        <v>-1.66416585E-2</v>
      </c>
    </row>
    <row r="219" spans="1:11" x14ac:dyDescent="0.35">
      <c r="A219" t="s">
        <v>59</v>
      </c>
      <c r="B219">
        <v>86341</v>
      </c>
      <c r="C219">
        <v>-0.122206</v>
      </c>
      <c r="D219" s="5">
        <v>1.0027451E-4</v>
      </c>
      <c r="E219">
        <v>-4.3625202999999996E-3</v>
      </c>
      <c r="F219">
        <v>6.6476999999999994E-2</v>
      </c>
      <c r="G219" t="s">
        <v>204</v>
      </c>
      <c r="I219">
        <f t="shared" si="16"/>
        <v>-0.12230627450999999</v>
      </c>
      <c r="J219">
        <f t="shared" si="17"/>
        <v>-4.4627948099999993E-3</v>
      </c>
      <c r="K219">
        <f t="shared" si="18"/>
        <v>6.6376725489999996E-2</v>
      </c>
    </row>
    <row r="220" spans="1:11" x14ac:dyDescent="0.35">
      <c r="A220" t="s">
        <v>60</v>
      </c>
      <c r="B220">
        <v>86341</v>
      </c>
      <c r="C220">
        <v>-2.9432E-2</v>
      </c>
      <c r="D220" s="5">
        <v>7.2702277999999997E-5</v>
      </c>
      <c r="E220">
        <v>-6.2072418999999997E-2</v>
      </c>
      <c r="F220">
        <v>0.108416</v>
      </c>
      <c r="G220" t="s">
        <v>204</v>
      </c>
      <c r="I220">
        <f t="shared" si="16"/>
        <v>-2.9504702277999999E-2</v>
      </c>
      <c r="J220">
        <f t="shared" si="17"/>
        <v>-6.2145121277999996E-2</v>
      </c>
      <c r="K220">
        <f t="shared" si="18"/>
        <v>0.10834329772199999</v>
      </c>
    </row>
    <row r="221" spans="1:11" x14ac:dyDescent="0.35">
      <c r="A221" t="s">
        <v>61</v>
      </c>
      <c r="B221">
        <v>86341</v>
      </c>
      <c r="C221">
        <v>-0.12903200000000001</v>
      </c>
      <c r="D221" s="5">
        <v>4.3220585000000003E-5</v>
      </c>
      <c r="E221">
        <v>-2.1622278000000002E-2</v>
      </c>
      <c r="F221">
        <v>5.2297999999999997E-2</v>
      </c>
      <c r="G221" t="s">
        <v>204</v>
      </c>
      <c r="I221">
        <f t="shared" si="16"/>
        <v>-0.12907522058500001</v>
      </c>
      <c r="J221">
        <f t="shared" si="17"/>
        <v>-2.1665498585000002E-2</v>
      </c>
      <c r="K221">
        <f t="shared" si="18"/>
        <v>5.2254779414999994E-2</v>
      </c>
    </row>
    <row r="222" spans="1:11" x14ac:dyDescent="0.35">
      <c r="A222" t="s">
        <v>62</v>
      </c>
      <c r="B222">
        <v>86341</v>
      </c>
      <c r="C222">
        <v>-5.9801E-2</v>
      </c>
      <c r="D222" s="5">
        <v>5.6849163000000003E-5</v>
      </c>
      <c r="E222">
        <v>-1.0335677999999999E-2</v>
      </c>
      <c r="F222">
        <v>-5.9991999999999997E-2</v>
      </c>
      <c r="G222" t="s">
        <v>204</v>
      </c>
      <c r="I222">
        <f t="shared" si="16"/>
        <v>-5.9857849163E-2</v>
      </c>
      <c r="J222">
        <f t="shared" si="17"/>
        <v>-1.0392527162999999E-2</v>
      </c>
      <c r="K222">
        <f t="shared" si="18"/>
        <v>-6.0048849162999997E-2</v>
      </c>
    </row>
    <row r="223" spans="1:11" x14ac:dyDescent="0.35">
      <c r="A223" t="s">
        <v>63</v>
      </c>
      <c r="B223">
        <v>86341</v>
      </c>
      <c r="C223">
        <v>4.7109999999999999E-3</v>
      </c>
      <c r="D223" s="5">
        <v>3.2929674E-5</v>
      </c>
      <c r="E223">
        <v>5.1065567999999999E-2</v>
      </c>
      <c r="F223">
        <v>-4.1588E-2</v>
      </c>
      <c r="G223" t="s">
        <v>204</v>
      </c>
      <c r="I223">
        <f t="shared" si="16"/>
        <v>4.6780703259999999E-3</v>
      </c>
      <c r="J223">
        <f t="shared" si="17"/>
        <v>5.1032638325999996E-2</v>
      </c>
      <c r="K223">
        <f t="shared" si="18"/>
        <v>-4.1620929674000003E-2</v>
      </c>
    </row>
    <row r="224" spans="1:11" x14ac:dyDescent="0.35">
      <c r="A224" t="s">
        <v>64</v>
      </c>
      <c r="B224">
        <v>86341</v>
      </c>
      <c r="C224">
        <v>8.6437E-2</v>
      </c>
      <c r="D224" s="5">
        <v>2.903705E-5</v>
      </c>
      <c r="E224">
        <v>2.3818125999999998E-2</v>
      </c>
      <c r="F224">
        <v>9.2320000000000006E-3</v>
      </c>
      <c r="G224" t="s">
        <v>204</v>
      </c>
      <c r="I224">
        <f t="shared" si="16"/>
        <v>8.640796295E-2</v>
      </c>
      <c r="J224">
        <f t="shared" si="17"/>
        <v>2.3789088949999999E-2</v>
      </c>
      <c r="K224">
        <f t="shared" si="18"/>
        <v>9.2029629500000008E-3</v>
      </c>
    </row>
    <row r="225" spans="1:11" x14ac:dyDescent="0.35">
      <c r="A225" t="s">
        <v>65</v>
      </c>
      <c r="B225">
        <v>86341</v>
      </c>
      <c r="C225">
        <v>-2.4431999999999999E-2</v>
      </c>
      <c r="D225" s="5">
        <v>5.4623592999999997E-5</v>
      </c>
      <c r="E225">
        <v>-7.8533299000000001E-2</v>
      </c>
      <c r="F225">
        <v>4.5169000000000001E-2</v>
      </c>
      <c r="G225" t="s">
        <v>204</v>
      </c>
      <c r="I225">
        <f t="shared" si="16"/>
        <v>-2.4486623592999999E-2</v>
      </c>
      <c r="J225">
        <f t="shared" si="17"/>
        <v>-7.8587922593000001E-2</v>
      </c>
      <c r="K225">
        <f t="shared" si="18"/>
        <v>4.5114376407000001E-2</v>
      </c>
    </row>
    <row r="226" spans="1:11" x14ac:dyDescent="0.35">
      <c r="A226" t="s">
        <v>66</v>
      </c>
      <c r="B226">
        <v>86341</v>
      </c>
      <c r="C226">
        <v>-2.8580000000000001E-2</v>
      </c>
      <c r="D226" s="5">
        <v>4.1826541000000002E-5</v>
      </c>
      <c r="E226">
        <v>-1.3053237000000001E-2</v>
      </c>
      <c r="F226">
        <v>-1.4442E-2</v>
      </c>
      <c r="G226" t="s">
        <v>204</v>
      </c>
      <c r="I226">
        <f t="shared" si="16"/>
        <v>-2.8621826541000001E-2</v>
      </c>
      <c r="J226">
        <f t="shared" si="17"/>
        <v>-1.3095063541000001E-2</v>
      </c>
      <c r="K226">
        <f t="shared" si="18"/>
        <v>-1.4483826541E-2</v>
      </c>
    </row>
    <row r="227" spans="1:11" x14ac:dyDescent="0.35">
      <c r="A227" t="s">
        <v>67</v>
      </c>
      <c r="B227">
        <v>86341</v>
      </c>
      <c r="C227">
        <v>-0.18154400000000001</v>
      </c>
      <c r="D227" s="5">
        <v>4.1830043999999998E-5</v>
      </c>
      <c r="E227">
        <v>1.0535574000000001E-2</v>
      </c>
      <c r="F227">
        <v>-9.2917E-2</v>
      </c>
      <c r="G227" t="s">
        <v>204</v>
      </c>
      <c r="I227">
        <f t="shared" si="16"/>
        <v>-0.181585830044</v>
      </c>
      <c r="J227">
        <f t="shared" si="17"/>
        <v>1.0493743956000001E-2</v>
      </c>
      <c r="K227">
        <f t="shared" si="18"/>
        <v>-9.2958830044000004E-2</v>
      </c>
    </row>
    <row r="228" spans="1:11" x14ac:dyDescent="0.35">
      <c r="A228" t="s">
        <v>68</v>
      </c>
      <c r="B228">
        <v>86341</v>
      </c>
      <c r="C228">
        <v>-0.141902</v>
      </c>
      <c r="D228" s="5">
        <v>4.4332078999999998E-5</v>
      </c>
      <c r="E228">
        <v>-9.8912783000000004E-2</v>
      </c>
      <c r="F228">
        <v>4.1120999999999998E-2</v>
      </c>
      <c r="G228" t="s">
        <v>204</v>
      </c>
      <c r="I228">
        <f t="shared" si="16"/>
        <v>-0.14194633207900001</v>
      </c>
      <c r="J228">
        <f t="shared" si="17"/>
        <v>-9.8957115078999999E-2</v>
      </c>
      <c r="K228">
        <f t="shared" si="18"/>
        <v>4.1076667920999996E-2</v>
      </c>
    </row>
    <row r="229" spans="1:11" x14ac:dyDescent="0.35">
      <c r="A229" t="s">
        <v>69</v>
      </c>
      <c r="B229">
        <v>86341</v>
      </c>
      <c r="C229">
        <v>-0.209957</v>
      </c>
      <c r="D229" s="5">
        <v>1.54194E-5</v>
      </c>
      <c r="E229">
        <v>-0.26823696000000002</v>
      </c>
      <c r="F229">
        <v>-0.16139700000000001</v>
      </c>
      <c r="G229" t="s">
        <v>204</v>
      </c>
      <c r="I229">
        <f t="shared" si="16"/>
        <v>-0.2099724194</v>
      </c>
      <c r="J229">
        <f t="shared" si="17"/>
        <v>-0.26825237940000002</v>
      </c>
      <c r="K229">
        <f t="shared" si="18"/>
        <v>-0.16141241940000001</v>
      </c>
    </row>
    <row r="230" spans="1:11" x14ac:dyDescent="0.35">
      <c r="A230" t="s">
        <v>70</v>
      </c>
      <c r="B230">
        <v>86341</v>
      </c>
      <c r="C230">
        <v>0.16986299999999999</v>
      </c>
      <c r="D230" s="5">
        <v>3.4029399E-6</v>
      </c>
      <c r="E230">
        <v>-6.0760938E-2</v>
      </c>
      <c r="F230">
        <v>0.12573599999999999</v>
      </c>
      <c r="G230" t="s">
        <v>204</v>
      </c>
      <c r="I230">
        <f t="shared" si="16"/>
        <v>0.16985959706009998</v>
      </c>
      <c r="J230">
        <f t="shared" si="17"/>
        <v>-6.0764340939899998E-2</v>
      </c>
      <c r="K230">
        <f t="shared" si="18"/>
        <v>0.12573259706009998</v>
      </c>
    </row>
    <row r="231" spans="1:11" x14ac:dyDescent="0.35">
      <c r="A231" t="s">
        <v>71</v>
      </c>
      <c r="B231">
        <v>86341</v>
      </c>
      <c r="C231">
        <v>0.29789199999999999</v>
      </c>
      <c r="D231" s="5">
        <v>9.7223551000000005E-7</v>
      </c>
      <c r="E231">
        <v>2.2324005000000001E-2</v>
      </c>
      <c r="F231">
        <v>7.7325000000000005E-2</v>
      </c>
      <c r="G231" t="s">
        <v>204</v>
      </c>
      <c r="I231">
        <f t="shared" si="16"/>
        <v>0.29789102776449</v>
      </c>
      <c r="J231">
        <f t="shared" si="17"/>
        <v>2.2323032764490002E-2</v>
      </c>
      <c r="K231">
        <f t="shared" si="18"/>
        <v>7.7324027764490003E-2</v>
      </c>
    </row>
    <row r="232" spans="1:11" x14ac:dyDescent="0.35">
      <c r="A232" t="s">
        <v>72</v>
      </c>
      <c r="B232">
        <v>86341</v>
      </c>
      <c r="C232">
        <v>3.5366000000000002E-2</v>
      </c>
      <c r="D232" s="5">
        <v>4.1666856999999999E-7</v>
      </c>
      <c r="E232">
        <v>-7.8490331999999996E-2</v>
      </c>
      <c r="F232">
        <v>5.5363000000000002E-2</v>
      </c>
      <c r="G232" t="s">
        <v>204</v>
      </c>
      <c r="I232">
        <f t="shared" si="16"/>
        <v>3.5365583331430001E-2</v>
      </c>
      <c r="J232">
        <f t="shared" si="17"/>
        <v>-7.849074866856999E-2</v>
      </c>
      <c r="K232">
        <f t="shared" si="18"/>
        <v>5.5362583331430001E-2</v>
      </c>
    </row>
    <row r="233" spans="1:11" x14ac:dyDescent="0.35">
      <c r="A233" t="s">
        <v>73</v>
      </c>
      <c r="B233">
        <v>86341</v>
      </c>
      <c r="C233">
        <v>3.9734999999999999E-2</v>
      </c>
      <c r="D233" s="5">
        <v>4.1669009000000002E-6</v>
      </c>
      <c r="E233">
        <v>-0.10050758</v>
      </c>
      <c r="F233">
        <v>1.4456E-2</v>
      </c>
      <c r="G233" t="s">
        <v>204</v>
      </c>
      <c r="I233">
        <f t="shared" si="16"/>
        <v>3.9730833099099999E-2</v>
      </c>
      <c r="J233">
        <f t="shared" si="17"/>
        <v>-0.10051174690089999</v>
      </c>
      <c r="K233">
        <f t="shared" si="18"/>
        <v>1.44518330991E-2</v>
      </c>
    </row>
    <row r="234" spans="1:11" x14ac:dyDescent="0.35">
      <c r="A234" t="s">
        <v>74</v>
      </c>
      <c r="B234">
        <v>86341</v>
      </c>
      <c r="C234">
        <v>0.23399300000000001</v>
      </c>
      <c r="D234" s="5">
        <v>4.4447111E-6</v>
      </c>
      <c r="E234">
        <v>8.7015814999999996E-2</v>
      </c>
      <c r="F234">
        <v>-2.537E-2</v>
      </c>
      <c r="G234" t="s">
        <v>204</v>
      </c>
      <c r="I234">
        <f t="shared" si="16"/>
        <v>0.2339885552889</v>
      </c>
      <c r="J234">
        <f t="shared" si="17"/>
        <v>8.7011370288899992E-2</v>
      </c>
      <c r="K234">
        <f t="shared" si="18"/>
        <v>-2.5374444711100001E-2</v>
      </c>
    </row>
    <row r="235" spans="1:11" x14ac:dyDescent="0.35">
      <c r="A235" t="s">
        <v>75</v>
      </c>
      <c r="B235">
        <v>86341</v>
      </c>
      <c r="C235">
        <v>-0.162133</v>
      </c>
      <c r="D235" s="5">
        <v>3.7501618E-6</v>
      </c>
      <c r="E235">
        <v>0.10942493</v>
      </c>
      <c r="F235">
        <v>-3.3341000000000003E-2</v>
      </c>
      <c r="G235" t="s">
        <v>204</v>
      </c>
      <c r="I235">
        <f t="shared" si="16"/>
        <v>-0.16213675016179999</v>
      </c>
      <c r="J235">
        <f t="shared" si="17"/>
        <v>0.1094211798382</v>
      </c>
      <c r="K235">
        <f t="shared" si="18"/>
        <v>-3.3344750161800003E-2</v>
      </c>
    </row>
    <row r="236" spans="1:11" x14ac:dyDescent="0.35">
      <c r="A236" t="s">
        <v>76</v>
      </c>
      <c r="B236">
        <v>86341</v>
      </c>
      <c r="C236">
        <v>0.37435099999999999</v>
      </c>
      <c r="D236" s="5">
        <v>1.2500218999999999E-6</v>
      </c>
      <c r="E236">
        <v>6.7855342999999999E-2</v>
      </c>
      <c r="F236">
        <v>0.102326</v>
      </c>
      <c r="G236" t="s">
        <v>204</v>
      </c>
      <c r="I236">
        <f t="shared" si="16"/>
        <v>0.3743497499781</v>
      </c>
      <c r="J236">
        <f t="shared" si="17"/>
        <v>6.7854092978099995E-2</v>
      </c>
      <c r="K236">
        <f t="shared" si="18"/>
        <v>0.1023247499781</v>
      </c>
    </row>
    <row r="237" spans="1:11" x14ac:dyDescent="0.35">
      <c r="A237" t="s">
        <v>77</v>
      </c>
      <c r="B237">
        <v>86341</v>
      </c>
      <c r="C237">
        <v>-0.134656</v>
      </c>
      <c r="D237" s="5">
        <v>4.1669009000000002E-6</v>
      </c>
      <c r="E237">
        <v>-3.0959923999999998E-3</v>
      </c>
      <c r="F237">
        <v>-5.2183E-2</v>
      </c>
      <c r="G237" t="s">
        <v>204</v>
      </c>
      <c r="I237">
        <f t="shared" si="16"/>
        <v>-0.13466016690089999</v>
      </c>
      <c r="J237">
        <f t="shared" si="17"/>
        <v>-3.1001593008999997E-3</v>
      </c>
      <c r="K237">
        <f t="shared" si="18"/>
        <v>-5.2187166900900001E-2</v>
      </c>
    </row>
    <row r="238" spans="1:11" x14ac:dyDescent="0.35">
      <c r="A238" t="s">
        <v>78</v>
      </c>
      <c r="B238">
        <v>86341</v>
      </c>
      <c r="C238">
        <v>7.0161000000000001E-2</v>
      </c>
      <c r="D238" s="5">
        <v>3.472361E-6</v>
      </c>
      <c r="E238">
        <v>8.1810951000000007E-2</v>
      </c>
      <c r="F238">
        <v>2.3799000000000001E-2</v>
      </c>
      <c r="G238" t="s">
        <v>204</v>
      </c>
      <c r="I238">
        <f t="shared" si="16"/>
        <v>7.0157527639000003E-2</v>
      </c>
      <c r="J238">
        <f t="shared" si="17"/>
        <v>8.1807478639000009E-2</v>
      </c>
      <c r="K238">
        <f t="shared" si="18"/>
        <v>2.3795527638999999E-2</v>
      </c>
    </row>
    <row r="239" spans="1:11" x14ac:dyDescent="0.35">
      <c r="A239" t="s">
        <v>79</v>
      </c>
      <c r="B239">
        <v>86341</v>
      </c>
      <c r="C239">
        <v>-1.7944999999999999E-2</v>
      </c>
      <c r="D239" s="5">
        <v>3.7501898E-6</v>
      </c>
      <c r="E239">
        <v>3.1335082E-2</v>
      </c>
      <c r="F239">
        <v>5.3600000000000002E-4</v>
      </c>
      <c r="G239" t="s">
        <v>204</v>
      </c>
      <c r="I239">
        <f t="shared" si="16"/>
        <v>-1.7948750189799998E-2</v>
      </c>
      <c r="J239">
        <f t="shared" si="17"/>
        <v>3.1331331810200001E-2</v>
      </c>
      <c r="K239">
        <f t="shared" si="18"/>
        <v>5.3224981020000002E-4</v>
      </c>
    </row>
    <row r="240" spans="1:11" x14ac:dyDescent="0.35">
      <c r="A240" t="s">
        <v>80</v>
      </c>
      <c r="B240">
        <v>86341</v>
      </c>
      <c r="C240">
        <v>6.0906000000000002E-2</v>
      </c>
      <c r="D240" s="5">
        <v>3.4723669000000002E-6</v>
      </c>
      <c r="E240">
        <v>4.5273893000000003E-2</v>
      </c>
      <c r="F240">
        <v>5.8351E-2</v>
      </c>
      <c r="G240" t="s">
        <v>204</v>
      </c>
      <c r="I240">
        <f t="shared" si="16"/>
        <v>6.0902527633100001E-2</v>
      </c>
      <c r="J240">
        <f t="shared" si="17"/>
        <v>4.5270420633100002E-2</v>
      </c>
      <c r="K240">
        <f t="shared" si="18"/>
        <v>5.8347527633099999E-2</v>
      </c>
    </row>
    <row r="241" spans="1:11" x14ac:dyDescent="0.35">
      <c r="A241" t="s">
        <v>81</v>
      </c>
      <c r="B241">
        <v>86341</v>
      </c>
      <c r="C241">
        <v>-7.8999E-2</v>
      </c>
      <c r="D241" s="5">
        <v>1.2500171000000001E-6</v>
      </c>
      <c r="E241">
        <v>-3.1813566000000001E-2</v>
      </c>
      <c r="F241">
        <v>3.7227999999999997E-2</v>
      </c>
      <c r="G241" t="s">
        <v>204</v>
      </c>
      <c r="I241">
        <f t="shared" si="16"/>
        <v>-7.9000250017099996E-2</v>
      </c>
      <c r="J241">
        <f t="shared" si="17"/>
        <v>-3.1814816017100005E-2</v>
      </c>
      <c r="K241">
        <f t="shared" si="18"/>
        <v>3.7226749982899994E-2</v>
      </c>
    </row>
    <row r="242" spans="1:11" x14ac:dyDescent="0.35">
      <c r="A242" t="s">
        <v>82</v>
      </c>
      <c r="B242">
        <v>86341</v>
      </c>
      <c r="C242">
        <v>0.173149</v>
      </c>
      <c r="D242" s="5">
        <v>8.3334305000000002E-7</v>
      </c>
      <c r="E242">
        <v>5.1395169999999997E-2</v>
      </c>
      <c r="F242">
        <v>0.12786500000000001</v>
      </c>
      <c r="G242" t="s">
        <v>204</v>
      </c>
      <c r="I242">
        <f t="shared" si="16"/>
        <v>0.17314816665694999</v>
      </c>
      <c r="J242">
        <f t="shared" si="17"/>
        <v>5.139433665695E-2</v>
      </c>
      <c r="K242">
        <f t="shared" si="18"/>
        <v>0.12786416665695</v>
      </c>
    </row>
    <row r="243" spans="1:11" x14ac:dyDescent="0.35">
      <c r="A243" t="s">
        <v>83</v>
      </c>
      <c r="B243">
        <v>86341</v>
      </c>
      <c r="C243">
        <v>-8.7648000000000004E-2</v>
      </c>
      <c r="D243" s="5">
        <v>2.5000749999999999E-6</v>
      </c>
      <c r="E243">
        <v>2.8345333E-2</v>
      </c>
      <c r="F243">
        <v>-7.2034000000000001E-2</v>
      </c>
      <c r="G243" t="s">
        <v>204</v>
      </c>
      <c r="I243">
        <f t="shared" si="16"/>
        <v>-8.7650500074999999E-2</v>
      </c>
      <c r="J243">
        <f t="shared" si="17"/>
        <v>2.8342832925000002E-2</v>
      </c>
      <c r="K243">
        <f t="shared" si="18"/>
        <v>-7.2036500074999996E-2</v>
      </c>
    </row>
    <row r="244" spans="1:11" x14ac:dyDescent="0.35">
      <c r="A244" t="s">
        <v>84</v>
      </c>
      <c r="B244">
        <v>86341</v>
      </c>
      <c r="C244">
        <v>-0.111747</v>
      </c>
      <c r="D244" s="5">
        <v>1.5278105E-6</v>
      </c>
      <c r="E244">
        <v>-3.7133395999999999E-2</v>
      </c>
      <c r="F244">
        <v>-1.2579999999999999E-2</v>
      </c>
      <c r="G244" t="s">
        <v>204</v>
      </c>
      <c r="I244">
        <f t="shared" si="16"/>
        <v>-0.1117485278105</v>
      </c>
      <c r="J244">
        <f t="shared" si="17"/>
        <v>-3.7134923810500001E-2</v>
      </c>
      <c r="K244">
        <f t="shared" si="18"/>
        <v>-1.2581527810499999E-2</v>
      </c>
    </row>
    <row r="245" spans="1:11" x14ac:dyDescent="0.35">
      <c r="A245" t="s">
        <v>85</v>
      </c>
      <c r="B245">
        <v>86341</v>
      </c>
      <c r="C245">
        <v>1.9332999999999999E-2</v>
      </c>
      <c r="D245" s="5">
        <v>4.1666901999999998E-7</v>
      </c>
      <c r="E245">
        <v>3.4774009000000002E-2</v>
      </c>
      <c r="F245">
        <v>3.2747999999999999E-2</v>
      </c>
      <c r="G245" t="s">
        <v>204</v>
      </c>
      <c r="I245">
        <f t="shared" si="16"/>
        <v>1.9332583330980001E-2</v>
      </c>
      <c r="J245">
        <f t="shared" si="17"/>
        <v>3.4773592330979999E-2</v>
      </c>
      <c r="K245">
        <f t="shared" si="18"/>
        <v>3.2747583330979997E-2</v>
      </c>
    </row>
    <row r="246" spans="1:11" x14ac:dyDescent="0.35">
      <c r="A246" t="s">
        <v>86</v>
      </c>
      <c r="B246">
        <v>86341</v>
      </c>
      <c r="C246">
        <v>4.5766000000000001E-2</v>
      </c>
      <c r="D246" s="5">
        <v>2.6389829999999998E-6</v>
      </c>
      <c r="E246">
        <v>6.3639558999999998E-2</v>
      </c>
      <c r="F246">
        <v>-4.3860000000000001E-3</v>
      </c>
      <c r="G246" t="s">
        <v>204</v>
      </c>
      <c r="I246">
        <f t="shared" si="16"/>
        <v>4.5763361017000001E-2</v>
      </c>
      <c r="J246">
        <f t="shared" si="17"/>
        <v>6.3636920016999998E-2</v>
      </c>
      <c r="K246">
        <f t="shared" si="18"/>
        <v>-4.3886389830000002E-3</v>
      </c>
    </row>
    <row r="247" spans="1:11" x14ac:dyDescent="0.35">
      <c r="A247" t="s">
        <v>87</v>
      </c>
      <c r="B247">
        <v>86341</v>
      </c>
      <c r="C247">
        <v>0.10303</v>
      </c>
      <c r="D247" s="5">
        <v>4.0279559999999999E-6</v>
      </c>
      <c r="E247">
        <v>2.0069690000000001E-2</v>
      </c>
      <c r="F247">
        <v>5.8833999999999997E-2</v>
      </c>
      <c r="G247" t="s">
        <v>204</v>
      </c>
      <c r="I247">
        <f t="shared" si="16"/>
        <v>0.10302597204399999</v>
      </c>
      <c r="J247">
        <f t="shared" si="17"/>
        <v>2.0065662044E-2</v>
      </c>
      <c r="K247">
        <f t="shared" si="18"/>
        <v>5.8829972043999999E-2</v>
      </c>
    </row>
    <row r="248" spans="1:11" x14ac:dyDescent="0.35">
      <c r="A248" t="s">
        <v>88</v>
      </c>
      <c r="B248">
        <v>86341</v>
      </c>
      <c r="C248">
        <v>1.433E-3</v>
      </c>
      <c r="D248" s="5">
        <v>4.1669009000000002E-6</v>
      </c>
      <c r="E248">
        <v>-7.9213500000000006E-2</v>
      </c>
      <c r="F248">
        <v>3.0522000000000001E-2</v>
      </c>
      <c r="G248" t="s">
        <v>204</v>
      </c>
      <c r="I248">
        <f t="shared" si="16"/>
        <v>1.4288330990999999E-3</v>
      </c>
      <c r="J248">
        <f t="shared" si="17"/>
        <v>-7.92176669009E-2</v>
      </c>
      <c r="K248">
        <f t="shared" si="18"/>
        <v>3.05178330991E-2</v>
      </c>
    </row>
    <row r="249" spans="1:11" x14ac:dyDescent="0.35">
      <c r="A249" t="s">
        <v>89</v>
      </c>
      <c r="B249">
        <v>86341</v>
      </c>
      <c r="C249">
        <v>3.0057E-2</v>
      </c>
      <c r="D249" s="5">
        <v>4.4447111E-6</v>
      </c>
      <c r="E249">
        <v>-5.0825889999999999E-2</v>
      </c>
      <c r="F249">
        <v>2.3545E-2</v>
      </c>
      <c r="G249" t="s">
        <v>204</v>
      </c>
      <c r="I249">
        <f t="shared" ref="I249:I312" si="19">C249-D249</f>
        <v>3.0052555288899999E-2</v>
      </c>
      <c r="J249">
        <f t="shared" ref="J249:J312" si="20">E249-D249</f>
        <v>-5.0830334711099996E-2</v>
      </c>
      <c r="K249">
        <f t="shared" ref="K249:K312" si="21">F249-D249</f>
        <v>2.3540555288899999E-2</v>
      </c>
    </row>
    <row r="250" spans="1:11" x14ac:dyDescent="0.35">
      <c r="A250" t="s">
        <v>90</v>
      </c>
      <c r="B250">
        <v>86341</v>
      </c>
      <c r="C250">
        <v>-6.1602999999999998E-2</v>
      </c>
      <c r="D250" s="5">
        <v>3.7501547000000001E-6</v>
      </c>
      <c r="E250">
        <v>7.0217035999999997E-2</v>
      </c>
      <c r="F250">
        <v>-5.0871E-2</v>
      </c>
      <c r="G250" t="s">
        <v>204</v>
      </c>
      <c r="I250">
        <f t="shared" si="19"/>
        <v>-6.1606750154699998E-2</v>
      </c>
      <c r="J250">
        <f t="shared" si="20"/>
        <v>7.0213285845299997E-2</v>
      </c>
      <c r="K250">
        <f t="shared" si="21"/>
        <v>-5.0874750154699999E-2</v>
      </c>
    </row>
    <row r="251" spans="1:11" x14ac:dyDescent="0.35">
      <c r="A251" t="s">
        <v>91</v>
      </c>
      <c r="B251">
        <v>86341</v>
      </c>
      <c r="C251">
        <v>4.3681999999999999E-2</v>
      </c>
      <c r="D251" s="5">
        <v>4.1669009000000002E-6</v>
      </c>
      <c r="E251">
        <v>-4.2918108000000003E-2</v>
      </c>
      <c r="F251">
        <v>5.7061000000000001E-2</v>
      </c>
      <c r="G251" t="s">
        <v>204</v>
      </c>
      <c r="I251">
        <f t="shared" si="19"/>
        <v>4.3677833099099998E-2</v>
      </c>
      <c r="J251">
        <f t="shared" si="20"/>
        <v>-4.2922274900900004E-2</v>
      </c>
      <c r="K251">
        <f t="shared" si="21"/>
        <v>5.70568330991E-2</v>
      </c>
    </row>
    <row r="252" spans="1:11" x14ac:dyDescent="0.35">
      <c r="A252" t="s">
        <v>92</v>
      </c>
      <c r="B252">
        <v>86341</v>
      </c>
      <c r="C252">
        <v>9.5532000000000006E-2</v>
      </c>
      <c r="D252" s="5">
        <v>4.7224784999999996E-6</v>
      </c>
      <c r="E252">
        <v>9.1566808999999999E-2</v>
      </c>
      <c r="F252">
        <v>4.7756E-2</v>
      </c>
      <c r="G252" t="s">
        <v>204</v>
      </c>
      <c r="I252">
        <f t="shared" si="19"/>
        <v>9.5527277521500004E-2</v>
      </c>
      <c r="J252">
        <f t="shared" si="20"/>
        <v>9.1562086521499997E-2</v>
      </c>
      <c r="K252">
        <f t="shared" si="21"/>
        <v>4.7751277521499998E-2</v>
      </c>
    </row>
    <row r="253" spans="1:11" x14ac:dyDescent="0.35">
      <c r="A253" t="s">
        <v>93</v>
      </c>
      <c r="B253">
        <v>86341</v>
      </c>
      <c r="C253">
        <v>1.8814999999999998E-2</v>
      </c>
      <c r="D253" s="5">
        <v>4.3058153000000004E-6</v>
      </c>
      <c r="E253">
        <v>3.7957888000000002E-2</v>
      </c>
      <c r="F253">
        <v>3.6823000000000002E-2</v>
      </c>
      <c r="G253" t="s">
        <v>204</v>
      </c>
      <c r="I253">
        <f t="shared" si="19"/>
        <v>1.8810694184699998E-2</v>
      </c>
      <c r="J253">
        <f t="shared" si="20"/>
        <v>3.7953582184700005E-2</v>
      </c>
      <c r="K253">
        <f t="shared" si="21"/>
        <v>3.6818694184700004E-2</v>
      </c>
    </row>
    <row r="254" spans="1:11" x14ac:dyDescent="0.35">
      <c r="A254" t="s">
        <v>94</v>
      </c>
      <c r="B254">
        <v>86341</v>
      </c>
      <c r="C254">
        <v>-5.9439999999999996E-3</v>
      </c>
      <c r="D254" s="5">
        <v>4.0280046999999999E-6</v>
      </c>
      <c r="E254">
        <v>8.7761291999999998E-3</v>
      </c>
      <c r="F254">
        <v>2.1113E-2</v>
      </c>
      <c r="G254" t="s">
        <v>204</v>
      </c>
      <c r="I254">
        <f t="shared" si="19"/>
        <v>-5.9480280046999992E-3</v>
      </c>
      <c r="J254">
        <f t="shared" si="20"/>
        <v>8.7721011952999993E-3</v>
      </c>
      <c r="K254">
        <f t="shared" si="21"/>
        <v>2.1108971995299999E-2</v>
      </c>
    </row>
    <row r="255" spans="1:11" x14ac:dyDescent="0.35">
      <c r="A255" t="s">
        <v>95</v>
      </c>
      <c r="B255">
        <v>86341</v>
      </c>
      <c r="C255">
        <v>5.1249000000000003E-2</v>
      </c>
      <c r="D255" s="5">
        <v>4.7224784999999996E-6</v>
      </c>
      <c r="E255">
        <v>6.7283355000000003E-2</v>
      </c>
      <c r="F255">
        <v>2.4368999999999998E-2</v>
      </c>
      <c r="G255" t="s">
        <v>204</v>
      </c>
      <c r="I255">
        <f t="shared" si="19"/>
        <v>5.1244277521500001E-2</v>
      </c>
      <c r="J255">
        <f t="shared" si="20"/>
        <v>6.7278632521500001E-2</v>
      </c>
      <c r="K255">
        <f t="shared" si="21"/>
        <v>2.43642775215E-2</v>
      </c>
    </row>
    <row r="256" spans="1:11" x14ac:dyDescent="0.35">
      <c r="A256" t="s">
        <v>96</v>
      </c>
      <c r="B256">
        <v>86341</v>
      </c>
      <c r="C256">
        <v>-0.12573599999999999</v>
      </c>
      <c r="D256" s="5">
        <v>1.5278093000000001E-6</v>
      </c>
      <c r="E256">
        <v>1.9074834999999998E-2</v>
      </c>
      <c r="F256">
        <v>-6.3797999999999994E-2</v>
      </c>
      <c r="G256" t="s">
        <v>204</v>
      </c>
      <c r="I256">
        <f t="shared" si="19"/>
        <v>-0.12573752780929998</v>
      </c>
      <c r="J256">
        <f t="shared" si="20"/>
        <v>1.9073307190699999E-2</v>
      </c>
      <c r="K256">
        <f t="shared" si="21"/>
        <v>-6.3799527809299997E-2</v>
      </c>
    </row>
    <row r="257" spans="1:11" x14ac:dyDescent="0.35">
      <c r="A257" t="s">
        <v>97</v>
      </c>
      <c r="B257">
        <v>86341</v>
      </c>
      <c r="C257">
        <v>0.13475799999999999</v>
      </c>
      <c r="D257" s="5">
        <v>4.1668749999999998E-6</v>
      </c>
      <c r="E257">
        <v>3.8132824000000003E-2</v>
      </c>
      <c r="F257">
        <v>5.9991000000000003E-2</v>
      </c>
      <c r="G257" t="s">
        <v>204</v>
      </c>
      <c r="I257">
        <f t="shared" si="19"/>
        <v>0.134753833125</v>
      </c>
      <c r="J257">
        <f t="shared" si="20"/>
        <v>3.8128657125E-2</v>
      </c>
      <c r="K257">
        <f t="shared" si="21"/>
        <v>5.9986833125E-2</v>
      </c>
    </row>
    <row r="258" spans="1:11" x14ac:dyDescent="0.35">
      <c r="A258" t="s">
        <v>98</v>
      </c>
      <c r="B258">
        <v>86341</v>
      </c>
      <c r="C258">
        <v>-1.5917000000000001E-2</v>
      </c>
      <c r="D258" s="5">
        <v>3.7501688E-6</v>
      </c>
      <c r="E258">
        <v>3.4299082999999998E-3</v>
      </c>
      <c r="F258">
        <v>1.5973999999999999E-2</v>
      </c>
      <c r="G258" t="s">
        <v>204</v>
      </c>
      <c r="I258">
        <f t="shared" si="19"/>
        <v>-1.5920750168799999E-2</v>
      </c>
      <c r="J258">
        <f t="shared" si="20"/>
        <v>3.4261581312E-3</v>
      </c>
      <c r="K258">
        <f t="shared" si="21"/>
        <v>1.59702498312E-2</v>
      </c>
    </row>
    <row r="259" spans="1:11" x14ac:dyDescent="0.35">
      <c r="A259" t="s">
        <v>99</v>
      </c>
      <c r="B259">
        <v>86341</v>
      </c>
      <c r="C259">
        <v>6.3190999999999997E-2</v>
      </c>
      <c r="D259" s="5">
        <v>1.8056012E-6</v>
      </c>
      <c r="E259">
        <v>2.8691142999999999E-2</v>
      </c>
      <c r="F259">
        <v>8.9446999999999999E-2</v>
      </c>
      <c r="G259" t="s">
        <v>204</v>
      </c>
      <c r="I259">
        <f t="shared" si="19"/>
        <v>6.3189194398799997E-2</v>
      </c>
      <c r="J259">
        <f t="shared" si="20"/>
        <v>2.8689337398799999E-2</v>
      </c>
      <c r="K259">
        <f t="shared" si="21"/>
        <v>8.9445194398799999E-2</v>
      </c>
    </row>
    <row r="260" spans="1:11" x14ac:dyDescent="0.35">
      <c r="A260" t="s">
        <v>100</v>
      </c>
      <c r="B260">
        <v>86341</v>
      </c>
      <c r="C260">
        <v>-9.8470000000000002E-2</v>
      </c>
      <c r="D260" s="5">
        <v>8.3334270999999995E-7</v>
      </c>
      <c r="E260">
        <v>-1.4824624999999999E-2</v>
      </c>
      <c r="F260">
        <v>-1.7916999999999999E-2</v>
      </c>
      <c r="G260" t="s">
        <v>204</v>
      </c>
      <c r="I260">
        <f t="shared" si="19"/>
        <v>-9.8470833342710007E-2</v>
      </c>
      <c r="J260">
        <f t="shared" si="20"/>
        <v>-1.4825458342709999E-2</v>
      </c>
      <c r="K260">
        <f t="shared" si="21"/>
        <v>-1.791783334271E-2</v>
      </c>
    </row>
    <row r="261" spans="1:11" x14ac:dyDescent="0.35">
      <c r="A261" t="s">
        <v>101</v>
      </c>
      <c r="B261">
        <v>86341</v>
      </c>
      <c r="C261">
        <v>-8.4204000000000001E-2</v>
      </c>
      <c r="D261" s="5">
        <v>1.2500179E-6</v>
      </c>
      <c r="E261">
        <v>-1.8264328999999999E-2</v>
      </c>
      <c r="F261">
        <v>-2.4317999999999999E-2</v>
      </c>
      <c r="G261" t="s">
        <v>204</v>
      </c>
      <c r="I261">
        <f t="shared" si="19"/>
        <v>-8.4205250017899996E-2</v>
      </c>
      <c r="J261">
        <f t="shared" si="20"/>
        <v>-1.8265579017899998E-2</v>
      </c>
      <c r="K261">
        <f t="shared" si="21"/>
        <v>-2.4319250017899998E-2</v>
      </c>
    </row>
    <row r="262" spans="1:11" x14ac:dyDescent="0.35">
      <c r="A262" t="s">
        <v>102</v>
      </c>
      <c r="B262">
        <v>86341</v>
      </c>
      <c r="C262">
        <v>-3.5639999999999999E-3</v>
      </c>
      <c r="D262" s="5">
        <v>5.5555989E-7</v>
      </c>
      <c r="E262">
        <v>-2.2433277000000001E-2</v>
      </c>
      <c r="F262">
        <v>8.4170999999999996E-2</v>
      </c>
      <c r="G262" t="s">
        <v>204</v>
      </c>
      <c r="I262">
        <f t="shared" si="19"/>
        <v>-3.5645555598899999E-3</v>
      </c>
      <c r="J262">
        <f t="shared" si="20"/>
        <v>-2.2433832559890003E-2</v>
      </c>
      <c r="K262">
        <f t="shared" si="21"/>
        <v>8.4170444440110001E-2</v>
      </c>
    </row>
    <row r="263" spans="1:11" x14ac:dyDescent="0.35">
      <c r="A263" t="s">
        <v>103</v>
      </c>
      <c r="B263">
        <v>86341</v>
      </c>
      <c r="C263">
        <v>7.2720000000000007E-2</v>
      </c>
      <c r="D263" s="5">
        <v>5.0003378000000001E-6</v>
      </c>
      <c r="E263">
        <v>-5.7314354999999997E-2</v>
      </c>
      <c r="F263">
        <v>0.122749</v>
      </c>
      <c r="G263" t="s">
        <v>204</v>
      </c>
      <c r="I263">
        <f t="shared" si="19"/>
        <v>7.2714999662200006E-2</v>
      </c>
      <c r="J263">
        <f t="shared" si="20"/>
        <v>-5.7319355337799999E-2</v>
      </c>
      <c r="K263">
        <f t="shared" si="21"/>
        <v>0.1227439996622</v>
      </c>
    </row>
    <row r="264" spans="1:11" x14ac:dyDescent="0.35">
      <c r="A264" t="s">
        <v>104</v>
      </c>
      <c r="B264">
        <v>86341</v>
      </c>
      <c r="C264">
        <v>-7.8020999999999993E-2</v>
      </c>
      <c r="D264" s="5">
        <v>4.1666856999999999E-7</v>
      </c>
      <c r="E264">
        <v>-8.4963291999999996E-2</v>
      </c>
      <c r="F264">
        <v>-0.110623</v>
      </c>
      <c r="G264" t="s">
        <v>204</v>
      </c>
      <c r="I264">
        <f t="shared" si="19"/>
        <v>-7.8021416668569987E-2</v>
      </c>
      <c r="J264">
        <f t="shared" si="20"/>
        <v>-8.496370866856999E-2</v>
      </c>
      <c r="K264">
        <f t="shared" si="21"/>
        <v>-0.11062341666856999</v>
      </c>
    </row>
    <row r="265" spans="1:11" x14ac:dyDescent="0.35">
      <c r="A265" t="s">
        <v>105</v>
      </c>
      <c r="B265">
        <v>86341</v>
      </c>
      <c r="C265">
        <v>9.3085000000000001E-2</v>
      </c>
      <c r="D265" s="5">
        <v>5.5555972000000002E-7</v>
      </c>
      <c r="E265">
        <v>7.7098571000000005E-2</v>
      </c>
      <c r="F265">
        <v>5.8712E-2</v>
      </c>
      <c r="G265" t="s">
        <v>204</v>
      </c>
      <c r="I265">
        <f t="shared" si="19"/>
        <v>9.3084444440279995E-2</v>
      </c>
      <c r="J265">
        <f t="shared" si="20"/>
        <v>7.7098015440279999E-2</v>
      </c>
      <c r="K265">
        <f t="shared" si="21"/>
        <v>5.8711444440280001E-2</v>
      </c>
    </row>
    <row r="266" spans="1:11" x14ac:dyDescent="0.35">
      <c r="A266" t="s">
        <v>106</v>
      </c>
      <c r="B266">
        <v>86341</v>
      </c>
      <c r="C266">
        <v>6.3199000000000005E-2</v>
      </c>
      <c r="D266" s="5">
        <v>6.9445048000000002E-7</v>
      </c>
      <c r="E266">
        <v>-2.5843721E-2</v>
      </c>
      <c r="F266">
        <v>1.6673E-2</v>
      </c>
      <c r="G266" t="s">
        <v>204</v>
      </c>
      <c r="I266">
        <f t="shared" si="19"/>
        <v>6.3198305549520009E-2</v>
      </c>
      <c r="J266">
        <f t="shared" si="20"/>
        <v>-2.584441545048E-2</v>
      </c>
      <c r="K266">
        <f t="shared" si="21"/>
        <v>1.6672305549520001E-2</v>
      </c>
    </row>
    <row r="267" spans="1:11" x14ac:dyDescent="0.35">
      <c r="A267" t="s">
        <v>107</v>
      </c>
      <c r="B267">
        <v>86341</v>
      </c>
      <c r="C267">
        <v>-0.114887</v>
      </c>
      <c r="D267" s="5">
        <v>1.6666698E-7</v>
      </c>
      <c r="E267">
        <v>3.7129038999999999E-3</v>
      </c>
      <c r="F267">
        <v>-0.106624</v>
      </c>
      <c r="G267" t="s">
        <v>204</v>
      </c>
      <c r="I267">
        <f t="shared" si="19"/>
        <v>-0.11488716666698</v>
      </c>
      <c r="J267">
        <f t="shared" si="20"/>
        <v>3.7127372330199998E-3</v>
      </c>
      <c r="K267">
        <f t="shared" si="21"/>
        <v>-0.10662416666697999</v>
      </c>
    </row>
    <row r="268" spans="1:11" x14ac:dyDescent="0.35">
      <c r="A268" t="s">
        <v>108</v>
      </c>
      <c r="B268">
        <v>86341</v>
      </c>
      <c r="C268">
        <v>7.8916E-2</v>
      </c>
      <c r="D268" s="5">
        <v>4.1666901999999998E-7</v>
      </c>
      <c r="E268">
        <v>5.4102684999999998E-2</v>
      </c>
      <c r="F268">
        <v>0.113955</v>
      </c>
      <c r="G268" t="s">
        <v>204</v>
      </c>
      <c r="I268">
        <f t="shared" si="19"/>
        <v>7.8915583330980005E-2</v>
      </c>
      <c r="J268">
        <f t="shared" si="20"/>
        <v>5.4102268330979995E-2</v>
      </c>
      <c r="K268">
        <f t="shared" si="21"/>
        <v>0.11395458333098001</v>
      </c>
    </row>
    <row r="269" spans="1:11" x14ac:dyDescent="0.35">
      <c r="A269" t="s">
        <v>109</v>
      </c>
      <c r="B269">
        <v>86341</v>
      </c>
      <c r="C269">
        <v>-7.3144000000000001E-2</v>
      </c>
      <c r="D269" s="5">
        <v>1.6666986000000001E-6</v>
      </c>
      <c r="E269">
        <v>4.1180659000000001E-2</v>
      </c>
      <c r="F269">
        <v>-2.9673000000000001E-2</v>
      </c>
      <c r="G269" t="s">
        <v>204</v>
      </c>
      <c r="I269">
        <f t="shared" si="19"/>
        <v>-7.3145666698599995E-2</v>
      </c>
      <c r="J269">
        <f t="shared" si="20"/>
        <v>4.11789923014E-2</v>
      </c>
      <c r="K269">
        <f t="shared" si="21"/>
        <v>-2.9674666698600003E-2</v>
      </c>
    </row>
    <row r="270" spans="1:11" x14ac:dyDescent="0.35">
      <c r="A270" t="s">
        <v>110</v>
      </c>
      <c r="B270">
        <v>86341</v>
      </c>
      <c r="C270">
        <v>-0.124195</v>
      </c>
      <c r="D270" s="5">
        <v>1.1111247000000001E-6</v>
      </c>
      <c r="E270">
        <v>2.4026984000000001E-2</v>
      </c>
      <c r="F270">
        <v>-1.3184E-2</v>
      </c>
      <c r="G270" t="s">
        <v>204</v>
      </c>
      <c r="I270">
        <f t="shared" si="19"/>
        <v>-0.1241961111247</v>
      </c>
      <c r="J270">
        <f t="shared" si="20"/>
        <v>2.4025872875300003E-2</v>
      </c>
      <c r="K270">
        <f t="shared" si="21"/>
        <v>-1.31851111247E-2</v>
      </c>
    </row>
    <row r="271" spans="1:11" x14ac:dyDescent="0.35">
      <c r="A271" t="s">
        <v>111</v>
      </c>
      <c r="B271">
        <v>86341</v>
      </c>
      <c r="C271">
        <v>-6.8796999999999997E-2</v>
      </c>
      <c r="D271" s="5">
        <v>9.722349400000001E-7</v>
      </c>
      <c r="E271">
        <v>-6.8070008E-3</v>
      </c>
      <c r="F271">
        <v>-1.48E-3</v>
      </c>
      <c r="G271" t="s">
        <v>204</v>
      </c>
      <c r="I271">
        <f t="shared" si="19"/>
        <v>-6.8797972234939997E-2</v>
      </c>
      <c r="J271">
        <f t="shared" si="20"/>
        <v>-6.8079730349399998E-3</v>
      </c>
      <c r="K271">
        <f t="shared" si="21"/>
        <v>-1.4809722349400001E-3</v>
      </c>
    </row>
    <row r="272" spans="1:11" x14ac:dyDescent="0.35">
      <c r="A272" t="s">
        <v>112</v>
      </c>
      <c r="B272">
        <v>86341</v>
      </c>
      <c r="C272">
        <v>5.2380000000000003E-2</v>
      </c>
      <c r="D272" s="5">
        <v>1.8055947E-6</v>
      </c>
      <c r="E272">
        <v>-6.5889180000000006E-2</v>
      </c>
      <c r="F272">
        <v>-6.3380000000000006E-2</v>
      </c>
      <c r="G272" t="s">
        <v>204</v>
      </c>
      <c r="I272">
        <f t="shared" si="19"/>
        <v>5.2378194405300005E-2</v>
      </c>
      <c r="J272">
        <f t="shared" si="20"/>
        <v>-6.5890985594700011E-2</v>
      </c>
      <c r="K272">
        <f t="shared" si="21"/>
        <v>-6.3381805594700011E-2</v>
      </c>
    </row>
    <row r="273" spans="1:11" x14ac:dyDescent="0.35">
      <c r="A273" t="s">
        <v>113</v>
      </c>
      <c r="B273">
        <v>86341</v>
      </c>
      <c r="C273">
        <v>-4.7697999999999997E-2</v>
      </c>
      <c r="D273" s="5">
        <v>8.3334305000000002E-7</v>
      </c>
      <c r="E273">
        <v>3.8209856E-2</v>
      </c>
      <c r="F273">
        <v>2.3546000000000001E-2</v>
      </c>
      <c r="G273" t="s">
        <v>204</v>
      </c>
      <c r="I273">
        <f t="shared" si="19"/>
        <v>-4.7698833343049994E-2</v>
      </c>
      <c r="J273">
        <f t="shared" si="20"/>
        <v>3.8209022656950004E-2</v>
      </c>
      <c r="K273">
        <f t="shared" si="21"/>
        <v>2.3545166656950001E-2</v>
      </c>
    </row>
    <row r="274" spans="1:11" x14ac:dyDescent="0.35">
      <c r="A274" t="s">
        <v>114</v>
      </c>
      <c r="B274">
        <v>86341</v>
      </c>
      <c r="C274">
        <v>-9.6100000000000005E-3</v>
      </c>
      <c r="D274" s="5">
        <v>9.722349400000001E-7</v>
      </c>
      <c r="E274">
        <v>1.0293739999999999E-2</v>
      </c>
      <c r="F274">
        <v>8.3770000000000008E-3</v>
      </c>
      <c r="G274" t="s">
        <v>204</v>
      </c>
      <c r="I274">
        <f t="shared" si="19"/>
        <v>-9.6109722349400004E-3</v>
      </c>
      <c r="J274">
        <f t="shared" si="20"/>
        <v>1.0292767765059999E-2</v>
      </c>
      <c r="K274">
        <f t="shared" si="21"/>
        <v>8.3760277650600009E-3</v>
      </c>
    </row>
    <row r="275" spans="1:11" x14ac:dyDescent="0.35">
      <c r="A275" t="s">
        <v>115</v>
      </c>
      <c r="B275">
        <v>86341</v>
      </c>
      <c r="C275">
        <v>-5.8397999999999999E-2</v>
      </c>
      <c r="D275" s="5">
        <v>1.3889111E-6</v>
      </c>
      <c r="E275">
        <v>2.6292300000000001E-2</v>
      </c>
      <c r="F275">
        <v>4.9396000000000002E-2</v>
      </c>
      <c r="G275" t="s">
        <v>204</v>
      </c>
      <c r="I275">
        <f t="shared" si="19"/>
        <v>-5.8399388911099998E-2</v>
      </c>
      <c r="J275">
        <f t="shared" si="20"/>
        <v>2.6290911088900002E-2</v>
      </c>
      <c r="K275">
        <f t="shared" si="21"/>
        <v>4.9394611088900003E-2</v>
      </c>
    </row>
    <row r="276" spans="1:11" x14ac:dyDescent="0.35">
      <c r="A276" t="s">
        <v>116</v>
      </c>
      <c r="B276">
        <v>86341</v>
      </c>
      <c r="C276">
        <v>9.8746E-2</v>
      </c>
      <c r="D276" s="5">
        <v>2.3611862999999998E-6</v>
      </c>
      <c r="E276">
        <v>2.6509768999999999E-2</v>
      </c>
      <c r="F276">
        <v>4.6705999999999998E-2</v>
      </c>
      <c r="G276" t="s">
        <v>204</v>
      </c>
      <c r="I276">
        <f t="shared" si="19"/>
        <v>9.8743638813700005E-2</v>
      </c>
      <c r="J276">
        <f t="shared" si="20"/>
        <v>2.65074078137E-2</v>
      </c>
      <c r="K276">
        <f t="shared" si="21"/>
        <v>4.6703638813699995E-2</v>
      </c>
    </row>
    <row r="277" spans="1:11" x14ac:dyDescent="0.35">
      <c r="A277" t="s">
        <v>117</v>
      </c>
      <c r="B277">
        <v>86341</v>
      </c>
      <c r="C277">
        <v>-3.0528E-2</v>
      </c>
      <c r="D277" s="5">
        <v>1.5278093000000001E-6</v>
      </c>
      <c r="E277">
        <v>-1.0423534999999999E-2</v>
      </c>
      <c r="F277">
        <v>-2.9437000000000001E-2</v>
      </c>
      <c r="G277" t="s">
        <v>204</v>
      </c>
      <c r="I277">
        <f t="shared" si="19"/>
        <v>-3.0529527809299999E-2</v>
      </c>
      <c r="J277">
        <f t="shared" si="20"/>
        <v>-1.0425062809299999E-2</v>
      </c>
      <c r="K277">
        <f t="shared" si="21"/>
        <v>-2.9438527809300001E-2</v>
      </c>
    </row>
    <row r="278" spans="1:11" x14ac:dyDescent="0.35">
      <c r="A278" t="s">
        <v>118</v>
      </c>
      <c r="B278">
        <v>86341</v>
      </c>
      <c r="C278">
        <v>-8.6912000000000003E-2</v>
      </c>
      <c r="D278" s="5">
        <v>2.7778665000000001E-6</v>
      </c>
      <c r="E278">
        <v>6.5123695000000002E-3</v>
      </c>
      <c r="F278">
        <v>-4.6750000000000003E-3</v>
      </c>
      <c r="G278" t="s">
        <v>204</v>
      </c>
      <c r="I278">
        <f t="shared" si="19"/>
        <v>-8.6914777866500009E-2</v>
      </c>
      <c r="J278">
        <f t="shared" si="20"/>
        <v>6.5095916335000002E-3</v>
      </c>
      <c r="K278">
        <f t="shared" si="21"/>
        <v>-4.6777778665000004E-3</v>
      </c>
    </row>
    <row r="279" spans="1:11" x14ac:dyDescent="0.35">
      <c r="A279" t="s">
        <v>119</v>
      </c>
      <c r="B279">
        <v>86341</v>
      </c>
      <c r="C279">
        <v>1.2916E-2</v>
      </c>
      <c r="D279" s="5">
        <v>3.1945822000000001E-6</v>
      </c>
      <c r="E279">
        <v>1.2589275E-2</v>
      </c>
      <c r="F279">
        <v>-2.4267E-2</v>
      </c>
      <c r="G279" t="s">
        <v>204</v>
      </c>
      <c r="I279">
        <f t="shared" si="19"/>
        <v>1.2912805417800001E-2</v>
      </c>
      <c r="J279">
        <f t="shared" si="20"/>
        <v>1.2586080417800001E-2</v>
      </c>
      <c r="K279">
        <f t="shared" si="21"/>
        <v>-2.4270194582200002E-2</v>
      </c>
    </row>
    <row r="280" spans="1:11" x14ac:dyDescent="0.35">
      <c r="A280" t="s">
        <v>120</v>
      </c>
      <c r="B280">
        <v>86341</v>
      </c>
      <c r="C280">
        <v>-0.10679</v>
      </c>
      <c r="D280" s="5">
        <v>5.5555926999999998E-7</v>
      </c>
      <c r="E280">
        <v>5.4154015999999999E-2</v>
      </c>
      <c r="F280">
        <v>-5.0639999999999999E-3</v>
      </c>
      <c r="G280" t="s">
        <v>204</v>
      </c>
      <c r="I280">
        <f t="shared" si="19"/>
        <v>-0.10679055555927</v>
      </c>
      <c r="J280">
        <f t="shared" si="20"/>
        <v>5.4153460440730002E-2</v>
      </c>
      <c r="K280">
        <f t="shared" si="21"/>
        <v>-5.0645555592700002E-3</v>
      </c>
    </row>
    <row r="281" spans="1:11" x14ac:dyDescent="0.35">
      <c r="A281" t="s">
        <v>121</v>
      </c>
      <c r="B281">
        <v>86341</v>
      </c>
      <c r="C281">
        <v>-0.134904</v>
      </c>
      <c r="D281" s="5">
        <v>1.1111283999999999E-6</v>
      </c>
      <c r="E281">
        <v>8.3725397000000007E-3</v>
      </c>
      <c r="F281">
        <v>-5.0867999999999997E-2</v>
      </c>
      <c r="G281" t="s">
        <v>204</v>
      </c>
      <c r="I281">
        <f t="shared" si="19"/>
        <v>-0.13490511112840001</v>
      </c>
      <c r="J281">
        <f t="shared" si="20"/>
        <v>8.3714285716000002E-3</v>
      </c>
      <c r="K281">
        <f t="shared" si="21"/>
        <v>-5.0869111128399994E-2</v>
      </c>
    </row>
    <row r="282" spans="1:11" x14ac:dyDescent="0.35">
      <c r="A282" t="s">
        <v>122</v>
      </c>
      <c r="B282">
        <v>86341</v>
      </c>
      <c r="C282">
        <v>-2.6137000000000001E-2</v>
      </c>
      <c r="D282" s="5">
        <v>2.3611892000000002E-6</v>
      </c>
      <c r="E282">
        <v>3.5316341000000001E-2</v>
      </c>
      <c r="F282">
        <v>9.6080000000000002E-3</v>
      </c>
      <c r="G282" t="s">
        <v>204</v>
      </c>
      <c r="I282">
        <f t="shared" si="19"/>
        <v>-2.6139361189199999E-2</v>
      </c>
      <c r="J282">
        <f t="shared" si="20"/>
        <v>3.5313979810799999E-2</v>
      </c>
      <c r="K282">
        <f t="shared" si="21"/>
        <v>9.6056388107999997E-3</v>
      </c>
    </row>
    <row r="283" spans="1:11" x14ac:dyDescent="0.35">
      <c r="A283" t="s">
        <v>123</v>
      </c>
      <c r="B283">
        <v>86341</v>
      </c>
      <c r="C283">
        <v>-0.17197399999999999</v>
      </c>
      <c r="D283" s="5">
        <v>9.7223551000000005E-7</v>
      </c>
      <c r="E283">
        <v>1.4946403E-2</v>
      </c>
      <c r="F283">
        <v>-7.5743000000000005E-2</v>
      </c>
      <c r="G283" t="s">
        <v>204</v>
      </c>
      <c r="I283">
        <f t="shared" si="19"/>
        <v>-0.17197497223550998</v>
      </c>
      <c r="J283">
        <f t="shared" si="20"/>
        <v>1.494543076449E-2</v>
      </c>
      <c r="K283">
        <f t="shared" si="21"/>
        <v>-7.5743972235510007E-2</v>
      </c>
    </row>
    <row r="284" spans="1:11" x14ac:dyDescent="0.35">
      <c r="A284" t="s">
        <v>124</v>
      </c>
      <c r="B284">
        <v>86341</v>
      </c>
      <c r="C284">
        <v>-6.7013000000000003E-2</v>
      </c>
      <c r="D284" s="5">
        <v>9.7223312000000006E-7</v>
      </c>
      <c r="E284">
        <v>1.9178807999999999E-2</v>
      </c>
      <c r="F284">
        <v>-6.1988000000000001E-2</v>
      </c>
      <c r="G284" t="s">
        <v>204</v>
      </c>
      <c r="I284">
        <f t="shared" si="19"/>
        <v>-6.7013972233120001E-2</v>
      </c>
      <c r="J284">
        <f t="shared" si="20"/>
        <v>1.9177835766879998E-2</v>
      </c>
      <c r="K284">
        <f t="shared" si="21"/>
        <v>-6.1988972233119999E-2</v>
      </c>
    </row>
    <row r="285" spans="1:11" x14ac:dyDescent="0.35">
      <c r="A285" t="s">
        <v>125</v>
      </c>
      <c r="B285">
        <v>86341</v>
      </c>
      <c r="C285">
        <v>-0.21168699999999999</v>
      </c>
      <c r="D285" s="5">
        <v>5.5555972000000002E-7</v>
      </c>
      <c r="E285">
        <v>-1.5042944000000001E-2</v>
      </c>
      <c r="F285">
        <v>-0.11058800000000001</v>
      </c>
      <c r="G285" t="s">
        <v>204</v>
      </c>
      <c r="I285">
        <f t="shared" si="19"/>
        <v>-0.21168755555971999</v>
      </c>
      <c r="J285">
        <f t="shared" si="20"/>
        <v>-1.5043499559720001E-2</v>
      </c>
      <c r="K285">
        <f t="shared" si="21"/>
        <v>-0.11058855555972001</v>
      </c>
    </row>
    <row r="286" spans="1:11" x14ac:dyDescent="0.35">
      <c r="A286" t="s">
        <v>126</v>
      </c>
      <c r="B286">
        <v>86341</v>
      </c>
      <c r="C286">
        <v>-7.9020999999999994E-2</v>
      </c>
      <c r="D286" s="5">
        <v>1.3888915000000001E-7</v>
      </c>
      <c r="E286">
        <v>5.2630160000000002E-2</v>
      </c>
      <c r="F286">
        <v>7.4301000000000006E-2</v>
      </c>
      <c r="G286" t="s">
        <v>204</v>
      </c>
      <c r="I286">
        <f t="shared" si="19"/>
        <v>-7.9021138889149994E-2</v>
      </c>
      <c r="J286">
        <f t="shared" si="20"/>
        <v>5.2630021110850002E-2</v>
      </c>
      <c r="K286">
        <f t="shared" si="21"/>
        <v>7.4300861110850006E-2</v>
      </c>
    </row>
    <row r="287" spans="1:11" x14ac:dyDescent="0.35">
      <c r="A287" t="s">
        <v>127</v>
      </c>
      <c r="B287">
        <v>86341</v>
      </c>
      <c r="C287">
        <v>1.5186E-2</v>
      </c>
      <c r="D287" s="5">
        <v>2.7777863999999998E-7</v>
      </c>
      <c r="E287">
        <v>-2.5734027999999999E-2</v>
      </c>
      <c r="F287">
        <v>5.2047000000000003E-2</v>
      </c>
      <c r="G287" t="s">
        <v>204</v>
      </c>
      <c r="I287">
        <f t="shared" si="19"/>
        <v>1.518572222136E-2</v>
      </c>
      <c r="J287">
        <f t="shared" si="20"/>
        <v>-2.5734305778639999E-2</v>
      </c>
      <c r="K287">
        <f t="shared" si="21"/>
        <v>5.2046722221360003E-2</v>
      </c>
    </row>
    <row r="288" spans="1:11" x14ac:dyDescent="0.35">
      <c r="A288" t="s">
        <v>128</v>
      </c>
      <c r="B288">
        <v>86341</v>
      </c>
      <c r="C288">
        <v>-6.731E-3</v>
      </c>
      <c r="D288" s="5">
        <v>6.9445092999999996E-7</v>
      </c>
      <c r="E288">
        <v>3.7508949999999999E-2</v>
      </c>
      <c r="F288">
        <v>-4.7837999999999999E-2</v>
      </c>
      <c r="G288" t="s">
        <v>204</v>
      </c>
      <c r="I288">
        <f t="shared" si="19"/>
        <v>-6.7316944509299998E-3</v>
      </c>
      <c r="J288">
        <f t="shared" si="20"/>
        <v>3.7508255549070002E-2</v>
      </c>
      <c r="K288">
        <f t="shared" si="21"/>
        <v>-4.7838694450929996E-2</v>
      </c>
    </row>
    <row r="289" spans="1:11" x14ac:dyDescent="0.35">
      <c r="A289" t="s">
        <v>129</v>
      </c>
      <c r="B289">
        <v>86341</v>
      </c>
      <c r="C289">
        <v>0.137048</v>
      </c>
      <c r="D289" s="5">
        <v>6.9445025000000003E-7</v>
      </c>
      <c r="E289">
        <v>3.5732113000000003E-2</v>
      </c>
      <c r="F289">
        <v>-3.4329999999999999E-3</v>
      </c>
      <c r="G289" t="s">
        <v>204</v>
      </c>
      <c r="I289">
        <f t="shared" si="19"/>
        <v>0.13704730554975</v>
      </c>
      <c r="J289">
        <f t="shared" si="20"/>
        <v>3.5731418549750003E-2</v>
      </c>
      <c r="K289">
        <f t="shared" si="21"/>
        <v>-3.4336944502499998E-3</v>
      </c>
    </row>
    <row r="290" spans="1:11" x14ac:dyDescent="0.35">
      <c r="A290" t="s">
        <v>130</v>
      </c>
      <c r="B290">
        <v>86341</v>
      </c>
      <c r="C290">
        <v>-0.1</v>
      </c>
      <c r="D290" s="5">
        <v>9.7223597000000002E-7</v>
      </c>
      <c r="E290">
        <v>2.3912761000000001E-2</v>
      </c>
      <c r="F290">
        <v>-5.5112000000000001E-2</v>
      </c>
      <c r="G290" t="s">
        <v>204</v>
      </c>
      <c r="I290">
        <f t="shared" si="19"/>
        <v>-0.10000097223597</v>
      </c>
      <c r="J290">
        <f t="shared" si="20"/>
        <v>2.3911788764030002E-2</v>
      </c>
      <c r="K290">
        <f t="shared" si="21"/>
        <v>-5.5112972235970004E-2</v>
      </c>
    </row>
    <row r="291" spans="1:11" x14ac:dyDescent="0.35">
      <c r="A291" t="s">
        <v>131</v>
      </c>
      <c r="B291">
        <v>86341</v>
      </c>
      <c r="C291">
        <v>-0.137601</v>
      </c>
      <c r="D291" s="5">
        <v>1.5278093000000001E-6</v>
      </c>
      <c r="E291">
        <v>2.6196547000000001E-2</v>
      </c>
      <c r="F291">
        <v>-3.7945E-2</v>
      </c>
      <c r="G291" t="s">
        <v>204</v>
      </c>
      <c r="I291">
        <f t="shared" si="19"/>
        <v>-0.13760252780929999</v>
      </c>
      <c r="J291">
        <f t="shared" si="20"/>
        <v>2.6195019190700001E-2</v>
      </c>
      <c r="K291">
        <f t="shared" si="21"/>
        <v>-3.7946527809300003E-2</v>
      </c>
    </row>
    <row r="292" spans="1:11" x14ac:dyDescent="0.35">
      <c r="A292" t="s">
        <v>132</v>
      </c>
      <c r="B292">
        <v>86341</v>
      </c>
      <c r="C292">
        <v>0.24914700000000001</v>
      </c>
      <c r="D292" s="5">
        <v>4.1666865999999999E-7</v>
      </c>
      <c r="E292">
        <v>-2.9955011E-2</v>
      </c>
      <c r="F292">
        <v>3.4188999999999997E-2</v>
      </c>
      <c r="G292" t="s">
        <v>204</v>
      </c>
      <c r="I292">
        <f t="shared" si="19"/>
        <v>0.24914658333134002</v>
      </c>
      <c r="J292">
        <f t="shared" si="20"/>
        <v>-2.9955427668659999E-2</v>
      </c>
      <c r="K292">
        <f t="shared" si="21"/>
        <v>3.4188583331339999E-2</v>
      </c>
    </row>
    <row r="293" spans="1:11" x14ac:dyDescent="0.35">
      <c r="A293" t="s">
        <v>133</v>
      </c>
      <c r="B293">
        <v>86341</v>
      </c>
      <c r="C293">
        <v>0.20082</v>
      </c>
      <c r="D293" s="5">
        <v>8.3334270999999995E-7</v>
      </c>
      <c r="E293">
        <v>4.6289820000000002E-2</v>
      </c>
      <c r="F293">
        <v>6.2702999999999995E-2</v>
      </c>
      <c r="G293" t="s">
        <v>204</v>
      </c>
      <c r="I293">
        <f t="shared" si="19"/>
        <v>0.20081916665728999</v>
      </c>
      <c r="J293">
        <f t="shared" si="20"/>
        <v>4.6288986657290004E-2</v>
      </c>
      <c r="K293">
        <f t="shared" si="21"/>
        <v>6.270216665728999E-2</v>
      </c>
    </row>
    <row r="294" spans="1:11" x14ac:dyDescent="0.35">
      <c r="A294" t="s">
        <v>134</v>
      </c>
      <c r="B294">
        <v>86341</v>
      </c>
      <c r="C294">
        <v>-2.8441000000000001E-2</v>
      </c>
      <c r="D294" s="5">
        <v>1.2500211E-6</v>
      </c>
      <c r="E294">
        <v>4.4357283000000004E-3</v>
      </c>
      <c r="F294">
        <v>-3.1420999999999998E-2</v>
      </c>
      <c r="G294" t="s">
        <v>204</v>
      </c>
      <c r="I294">
        <f t="shared" si="19"/>
        <v>-2.8442250021100002E-2</v>
      </c>
      <c r="J294">
        <f t="shared" si="20"/>
        <v>4.4344782789000007E-3</v>
      </c>
      <c r="K294">
        <f t="shared" si="21"/>
        <v>-3.1422250021099996E-2</v>
      </c>
    </row>
    <row r="295" spans="1:11" x14ac:dyDescent="0.35">
      <c r="A295" t="s">
        <v>135</v>
      </c>
      <c r="B295">
        <v>86341</v>
      </c>
      <c r="C295">
        <v>5.9719000000000001E-2</v>
      </c>
      <c r="D295" s="5">
        <v>8.3334168999999996E-7</v>
      </c>
      <c r="E295">
        <v>1.4230842999999999E-3</v>
      </c>
      <c r="F295">
        <v>4.9350000000000002E-3</v>
      </c>
      <c r="G295" t="s">
        <v>204</v>
      </c>
      <c r="I295">
        <f t="shared" si="19"/>
        <v>5.971816665831E-2</v>
      </c>
      <c r="J295">
        <f t="shared" si="20"/>
        <v>1.4222509583099998E-3</v>
      </c>
      <c r="K295">
        <f t="shared" si="21"/>
        <v>4.9341666583100005E-3</v>
      </c>
    </row>
    <row r="296" spans="1:11" x14ac:dyDescent="0.35">
      <c r="A296" t="s">
        <v>136</v>
      </c>
      <c r="B296">
        <v>86341</v>
      </c>
      <c r="C296">
        <v>-0.12762399999999999</v>
      </c>
      <c r="D296" s="5">
        <v>5.5555893000000002E-7</v>
      </c>
      <c r="E296">
        <v>2.0251281999999999E-2</v>
      </c>
      <c r="F296">
        <v>-3.0509999999999999E-2</v>
      </c>
      <c r="G296" t="s">
        <v>204</v>
      </c>
      <c r="I296">
        <f t="shared" si="19"/>
        <v>-0.12762455555892999</v>
      </c>
      <c r="J296">
        <f t="shared" si="20"/>
        <v>2.025072644107E-2</v>
      </c>
      <c r="K296">
        <f t="shared" si="21"/>
        <v>-3.0510555558929998E-2</v>
      </c>
    </row>
    <row r="297" spans="1:11" x14ac:dyDescent="0.35">
      <c r="A297" t="s">
        <v>137</v>
      </c>
      <c r="B297">
        <v>86341</v>
      </c>
      <c r="C297">
        <v>8.9929999999999996E-2</v>
      </c>
      <c r="D297" s="5">
        <v>1.1111276999999999E-6</v>
      </c>
      <c r="E297">
        <v>2.8027399000000001E-2</v>
      </c>
      <c r="F297">
        <v>6.3189999999999996E-2</v>
      </c>
      <c r="G297" t="s">
        <v>204</v>
      </c>
      <c r="I297">
        <f t="shared" si="19"/>
        <v>8.9928888872299995E-2</v>
      </c>
      <c r="J297">
        <f t="shared" si="20"/>
        <v>2.80262878723E-2</v>
      </c>
      <c r="K297">
        <f t="shared" si="21"/>
        <v>6.3188888872299995E-2</v>
      </c>
    </row>
    <row r="298" spans="1:11" x14ac:dyDescent="0.35">
      <c r="A298" t="s">
        <v>138</v>
      </c>
      <c r="B298">
        <v>86341</v>
      </c>
      <c r="C298">
        <v>-1.1620000000000001E-3</v>
      </c>
      <c r="D298" s="5">
        <v>4.1666874000000002E-7</v>
      </c>
      <c r="E298">
        <v>-2.0529615000000001E-2</v>
      </c>
      <c r="F298">
        <v>-3.6317000000000002E-2</v>
      </c>
      <c r="G298" t="s">
        <v>204</v>
      </c>
      <c r="I298">
        <f t="shared" si="19"/>
        <v>-1.1624166687400001E-3</v>
      </c>
      <c r="J298">
        <f t="shared" si="20"/>
        <v>-2.0530031668740002E-2</v>
      </c>
      <c r="K298">
        <f t="shared" si="21"/>
        <v>-3.6317416668739999E-2</v>
      </c>
    </row>
    <row r="299" spans="1:11" x14ac:dyDescent="0.35">
      <c r="A299" t="s">
        <v>139</v>
      </c>
      <c r="B299">
        <v>86341</v>
      </c>
      <c r="C299">
        <v>-5.8200000000000005E-4</v>
      </c>
      <c r="D299" s="5">
        <v>2.0833394000000001E-7</v>
      </c>
      <c r="E299">
        <v>4.0290773000000002E-2</v>
      </c>
      <c r="F299">
        <v>3.8089999999999999E-3</v>
      </c>
      <c r="G299" t="s">
        <v>204</v>
      </c>
      <c r="I299">
        <f t="shared" si="19"/>
        <v>-5.8220833394000008E-4</v>
      </c>
      <c r="J299">
        <f t="shared" si="20"/>
        <v>4.029056466606E-2</v>
      </c>
      <c r="K299">
        <f t="shared" si="21"/>
        <v>3.8087916660599999E-3</v>
      </c>
    </row>
    <row r="300" spans="1:11" x14ac:dyDescent="0.35">
      <c r="A300" t="s">
        <v>140</v>
      </c>
      <c r="B300">
        <v>86341</v>
      </c>
      <c r="C300">
        <v>-0.30151299999999998</v>
      </c>
      <c r="D300" s="5">
        <v>5.5555972000000002E-7</v>
      </c>
      <c r="E300">
        <v>-2.5125346999999999E-2</v>
      </c>
      <c r="F300">
        <v>-6.1762999999999998E-2</v>
      </c>
      <c r="G300" t="s">
        <v>204</v>
      </c>
      <c r="I300">
        <f t="shared" si="19"/>
        <v>-0.30151355555971998</v>
      </c>
      <c r="J300">
        <f t="shared" si="20"/>
        <v>-2.5125902559719998E-2</v>
      </c>
      <c r="K300">
        <f t="shared" si="21"/>
        <v>-6.1763555559719997E-2</v>
      </c>
    </row>
    <row r="301" spans="1:11" x14ac:dyDescent="0.35">
      <c r="A301" t="s">
        <v>141</v>
      </c>
      <c r="B301">
        <v>86341</v>
      </c>
      <c r="C301">
        <v>-0.31083300000000003</v>
      </c>
      <c r="D301" s="5">
        <v>4.1666865999999999E-7</v>
      </c>
      <c r="E301">
        <v>3.7308317000000001E-2</v>
      </c>
      <c r="F301">
        <v>-3.0547999999999999E-2</v>
      </c>
      <c r="G301" t="s">
        <v>204</v>
      </c>
      <c r="I301">
        <f t="shared" si="19"/>
        <v>-0.31083341666866005</v>
      </c>
      <c r="J301">
        <f t="shared" si="20"/>
        <v>3.7307900331340002E-2</v>
      </c>
      <c r="K301">
        <f t="shared" si="21"/>
        <v>-3.0548416668659997E-2</v>
      </c>
    </row>
    <row r="302" spans="1:11" x14ac:dyDescent="0.35">
      <c r="A302" t="s">
        <v>142</v>
      </c>
      <c r="B302">
        <v>86341</v>
      </c>
      <c r="C302">
        <v>3.5067000000000001E-2</v>
      </c>
      <c r="D302" s="5">
        <v>2.7777887000000002E-7</v>
      </c>
      <c r="E302">
        <v>2.0212193999999999E-2</v>
      </c>
      <c r="F302">
        <v>-4.8820000000000001E-3</v>
      </c>
      <c r="G302" t="s">
        <v>204</v>
      </c>
      <c r="I302">
        <f t="shared" si="19"/>
        <v>3.5066722221129998E-2</v>
      </c>
      <c r="J302">
        <f t="shared" si="20"/>
        <v>2.021191622113E-2</v>
      </c>
      <c r="K302">
        <f t="shared" si="21"/>
        <v>-4.8822777788699997E-3</v>
      </c>
    </row>
    <row r="303" spans="1:11" x14ac:dyDescent="0.35">
      <c r="A303" t="s">
        <v>143</v>
      </c>
      <c r="B303">
        <v>86341</v>
      </c>
      <c r="C303">
        <v>1.6355000000000001E-2</v>
      </c>
      <c r="D303" s="5">
        <v>1.1111283999999999E-6</v>
      </c>
      <c r="E303">
        <v>-3.5814726999999998E-3</v>
      </c>
      <c r="F303">
        <v>1.3112E-2</v>
      </c>
      <c r="G303" t="s">
        <v>204</v>
      </c>
      <c r="I303">
        <f t="shared" si="19"/>
        <v>1.6353888871600001E-2</v>
      </c>
      <c r="J303">
        <f t="shared" si="20"/>
        <v>-3.5825838283999999E-3</v>
      </c>
      <c r="K303">
        <f t="shared" si="21"/>
        <v>1.31108888716E-2</v>
      </c>
    </row>
    <row r="304" spans="1:11" x14ac:dyDescent="0.35">
      <c r="A304" t="s">
        <v>144</v>
      </c>
      <c r="B304">
        <v>86341</v>
      </c>
      <c r="C304">
        <v>0.422989</v>
      </c>
      <c r="D304" s="5">
        <v>4.1666856999999999E-7</v>
      </c>
      <c r="E304">
        <v>-2.7105996E-2</v>
      </c>
      <c r="F304">
        <v>8.6899000000000004E-2</v>
      </c>
      <c r="G304" t="s">
        <v>204</v>
      </c>
      <c r="I304">
        <f t="shared" si="19"/>
        <v>0.42298858333143002</v>
      </c>
      <c r="J304">
        <f t="shared" si="20"/>
        <v>-2.7106412668570001E-2</v>
      </c>
      <c r="K304">
        <f t="shared" si="21"/>
        <v>8.689858333143001E-2</v>
      </c>
    </row>
    <row r="305" spans="1:11" x14ac:dyDescent="0.35">
      <c r="A305" t="s">
        <v>145</v>
      </c>
      <c r="B305">
        <v>86341</v>
      </c>
      <c r="C305">
        <v>-8.9661000000000005E-2</v>
      </c>
      <c r="D305" s="5">
        <v>4.1666901999999998E-7</v>
      </c>
      <c r="E305">
        <v>5.6000657000000002E-2</v>
      </c>
      <c r="F305">
        <v>-5.9052E-2</v>
      </c>
      <c r="G305" t="s">
        <v>204</v>
      </c>
      <c r="I305">
        <f t="shared" si="19"/>
        <v>-8.966141666902E-2</v>
      </c>
      <c r="J305">
        <f t="shared" si="20"/>
        <v>5.600024033098E-2</v>
      </c>
      <c r="K305">
        <f t="shared" si="21"/>
        <v>-5.9052416669020003E-2</v>
      </c>
    </row>
    <row r="306" spans="1:11" x14ac:dyDescent="0.35">
      <c r="A306" t="s">
        <v>146</v>
      </c>
      <c r="B306">
        <v>86341</v>
      </c>
      <c r="C306">
        <v>-0.17125099999999999</v>
      </c>
      <c r="D306" s="5">
        <v>6.9445092999999996E-7</v>
      </c>
      <c r="E306">
        <v>-1.0326237E-2</v>
      </c>
      <c r="F306">
        <v>-2.1521999999999999E-2</v>
      </c>
      <c r="G306" t="s">
        <v>204</v>
      </c>
      <c r="I306">
        <f t="shared" si="19"/>
        <v>-0.17125169445093</v>
      </c>
      <c r="J306">
        <f t="shared" si="20"/>
        <v>-1.0326931450930001E-2</v>
      </c>
      <c r="K306">
        <f t="shared" si="21"/>
        <v>-2.152269445093E-2</v>
      </c>
    </row>
    <row r="307" spans="1:11" x14ac:dyDescent="0.35">
      <c r="A307" t="s">
        <v>147</v>
      </c>
      <c r="B307">
        <v>86341</v>
      </c>
      <c r="C307">
        <v>0.213062</v>
      </c>
      <c r="D307" s="5">
        <v>6.9444996999999997E-7</v>
      </c>
      <c r="E307">
        <v>8.6387536000000001E-3</v>
      </c>
      <c r="F307">
        <v>-1.6720000000000001E-3</v>
      </c>
      <c r="G307" t="s">
        <v>204</v>
      </c>
      <c r="I307">
        <f t="shared" si="19"/>
        <v>0.21306130555003</v>
      </c>
      <c r="J307">
        <f t="shared" si="20"/>
        <v>8.6380591500300006E-3</v>
      </c>
      <c r="K307">
        <f t="shared" si="21"/>
        <v>-1.67269444997E-3</v>
      </c>
    </row>
    <row r="308" spans="1:11" x14ac:dyDescent="0.35">
      <c r="A308" t="s">
        <v>148</v>
      </c>
      <c r="B308">
        <v>86341</v>
      </c>
      <c r="C308">
        <v>-0.15445700000000001</v>
      </c>
      <c r="D308" s="5">
        <v>-1.3888861999999999E-7</v>
      </c>
      <c r="E308">
        <v>1.0356373E-2</v>
      </c>
      <c r="F308">
        <v>5.5519999999999996E-3</v>
      </c>
      <c r="G308" t="s">
        <v>204</v>
      </c>
      <c r="I308">
        <f t="shared" si="19"/>
        <v>-0.15445686111138002</v>
      </c>
      <c r="J308">
        <f t="shared" si="20"/>
        <v>1.0356511888620001E-2</v>
      </c>
      <c r="K308">
        <f t="shared" si="21"/>
        <v>5.5521388886199995E-3</v>
      </c>
    </row>
    <row r="309" spans="1:11" x14ac:dyDescent="0.35">
      <c r="A309" t="s">
        <v>149</v>
      </c>
      <c r="B309">
        <v>86341</v>
      </c>
      <c r="C309">
        <v>-6.5762000000000001E-2</v>
      </c>
      <c r="D309" s="5">
        <v>2.7777881000000001E-7</v>
      </c>
      <c r="E309">
        <v>-1.9239652999999999E-2</v>
      </c>
      <c r="F309">
        <v>-1.5162E-2</v>
      </c>
      <c r="G309" t="s">
        <v>204</v>
      </c>
      <c r="I309">
        <f t="shared" si="19"/>
        <v>-6.5762277778809997E-2</v>
      </c>
      <c r="J309">
        <f t="shared" si="20"/>
        <v>-1.9239930778809998E-2</v>
      </c>
      <c r="K309">
        <f t="shared" si="21"/>
        <v>-1.5162277778810001E-2</v>
      </c>
    </row>
    <row r="310" spans="1:11" x14ac:dyDescent="0.35">
      <c r="A310" t="s">
        <v>150</v>
      </c>
      <c r="B310">
        <v>86341</v>
      </c>
      <c r="C310">
        <v>-0.31620100000000001</v>
      </c>
      <c r="D310" s="5">
        <v>1.3888911E-7</v>
      </c>
      <c r="E310">
        <v>1.2304676000000001E-2</v>
      </c>
      <c r="F310">
        <v>-6.6210000000000005E-2</v>
      </c>
      <c r="G310" t="s">
        <v>204</v>
      </c>
      <c r="I310">
        <f t="shared" si="19"/>
        <v>-0.31620113888911</v>
      </c>
      <c r="J310">
        <f t="shared" si="20"/>
        <v>1.2304537110890001E-2</v>
      </c>
      <c r="K310">
        <f t="shared" si="21"/>
        <v>-6.621013888911001E-2</v>
      </c>
    </row>
    <row r="311" spans="1:11" x14ac:dyDescent="0.35">
      <c r="A311" t="s">
        <v>151</v>
      </c>
      <c r="B311">
        <v>86341</v>
      </c>
      <c r="C311">
        <v>0.326797</v>
      </c>
      <c r="D311" s="5">
        <v>8.3334270999999995E-7</v>
      </c>
      <c r="E311">
        <v>-6.0059883000000001E-2</v>
      </c>
      <c r="F311">
        <v>3.7072000000000001E-2</v>
      </c>
      <c r="G311" t="s">
        <v>204</v>
      </c>
      <c r="I311">
        <f t="shared" si="19"/>
        <v>0.32679616665729</v>
      </c>
      <c r="J311">
        <f t="shared" si="20"/>
        <v>-6.0060716342709999E-2</v>
      </c>
      <c r="K311">
        <f t="shared" si="21"/>
        <v>3.7071166657290003E-2</v>
      </c>
    </row>
    <row r="312" spans="1:11" x14ac:dyDescent="0.35">
      <c r="A312" t="s">
        <v>152</v>
      </c>
      <c r="B312">
        <v>86341</v>
      </c>
      <c r="C312">
        <v>8.6210000000000002E-3</v>
      </c>
      <c r="D312" s="5">
        <v>2.7777869999999999E-7</v>
      </c>
      <c r="E312">
        <v>-3.3820637000000001E-2</v>
      </c>
      <c r="F312">
        <v>-1.8010999999999999E-2</v>
      </c>
      <c r="G312" t="s">
        <v>204</v>
      </c>
      <c r="I312">
        <f t="shared" si="19"/>
        <v>8.6207222213E-3</v>
      </c>
      <c r="J312">
        <f t="shared" si="20"/>
        <v>-3.3820914778700001E-2</v>
      </c>
      <c r="K312">
        <f t="shared" si="21"/>
        <v>-1.8011277778699999E-2</v>
      </c>
    </row>
    <row r="313" spans="1:11" x14ac:dyDescent="0.35">
      <c r="A313" t="s">
        <v>153</v>
      </c>
      <c r="B313">
        <v>86341</v>
      </c>
      <c r="C313">
        <v>3.0525E-2</v>
      </c>
      <c r="D313" s="5">
        <v>-2.7777693000000002E-7</v>
      </c>
      <c r="E313">
        <v>7.4186891000000005E-2</v>
      </c>
      <c r="F313">
        <v>2.2834E-2</v>
      </c>
      <c r="G313" t="s">
        <v>204</v>
      </c>
      <c r="I313">
        <f t="shared" ref="I313:I377" si="22">C313-D313</f>
        <v>3.0525277776929999E-2</v>
      </c>
      <c r="J313">
        <f t="shared" ref="J313:J377" si="23">E313-D313</f>
        <v>7.4187168776930004E-2</v>
      </c>
      <c r="K313">
        <f t="shared" ref="K313:K377" si="24">F313-D313</f>
        <v>2.283427777693E-2</v>
      </c>
    </row>
    <row r="314" spans="1:11" x14ac:dyDescent="0.35">
      <c r="A314" t="s">
        <v>154</v>
      </c>
      <c r="B314">
        <v>86341</v>
      </c>
      <c r="C314">
        <v>-0.241706</v>
      </c>
      <c r="D314" s="5">
        <v>2.7777887000000002E-7</v>
      </c>
      <c r="E314">
        <v>6.7570386000000001E-3</v>
      </c>
      <c r="F314">
        <v>-6.7520999999999998E-2</v>
      </c>
      <c r="G314" t="s">
        <v>204</v>
      </c>
      <c r="I314">
        <f t="shared" si="22"/>
        <v>-0.24170627777886999</v>
      </c>
      <c r="J314">
        <f t="shared" si="23"/>
        <v>6.7567608211300005E-3</v>
      </c>
      <c r="K314">
        <f t="shared" si="24"/>
        <v>-6.7521277778870001E-2</v>
      </c>
    </row>
    <row r="315" spans="1:11" x14ac:dyDescent="0.35">
      <c r="A315" t="s">
        <v>155</v>
      </c>
      <c r="B315">
        <v>86341</v>
      </c>
      <c r="C315">
        <v>0.109375</v>
      </c>
      <c r="D315" s="5">
        <v>2.7778703E-6</v>
      </c>
      <c r="E315">
        <v>-2.2346674E-2</v>
      </c>
      <c r="F315">
        <v>-4.5129999999999997E-3</v>
      </c>
      <c r="G315" t="s">
        <v>204</v>
      </c>
      <c r="I315">
        <f t="shared" si="22"/>
        <v>0.10937222212970001</v>
      </c>
      <c r="J315">
        <f t="shared" si="23"/>
        <v>-2.2349451870300002E-2</v>
      </c>
      <c r="K315">
        <f t="shared" si="24"/>
        <v>-4.5157778702999999E-3</v>
      </c>
    </row>
    <row r="316" spans="1:11" x14ac:dyDescent="0.35">
      <c r="A316" t="s">
        <v>156</v>
      </c>
      <c r="B316">
        <v>86341</v>
      </c>
      <c r="C316">
        <v>0.19436600000000001</v>
      </c>
      <c r="D316" s="5">
        <v>3.8891008000000001E-6</v>
      </c>
      <c r="E316">
        <v>-5.6998282999999997E-2</v>
      </c>
      <c r="F316">
        <v>5.4101999999999997E-2</v>
      </c>
      <c r="G316" t="s">
        <v>204</v>
      </c>
      <c r="I316">
        <f t="shared" si="22"/>
        <v>0.19436211089920002</v>
      </c>
      <c r="J316">
        <f t="shared" si="23"/>
        <v>-5.7002172100799997E-2</v>
      </c>
      <c r="K316">
        <f t="shared" si="24"/>
        <v>5.4098110899199997E-2</v>
      </c>
    </row>
    <row r="317" spans="1:11" x14ac:dyDescent="0.35">
      <c r="A317" t="s">
        <v>157</v>
      </c>
      <c r="B317">
        <v>86341</v>
      </c>
      <c r="C317">
        <v>0.53537800000000002</v>
      </c>
      <c r="D317" s="5">
        <v>6.2505273000000001E-6</v>
      </c>
      <c r="E317">
        <v>6.8726775000000002E-4</v>
      </c>
      <c r="F317">
        <v>0.10931200000000001</v>
      </c>
      <c r="G317" t="s">
        <v>204</v>
      </c>
      <c r="I317">
        <f t="shared" si="22"/>
        <v>0.53537174947270005</v>
      </c>
      <c r="J317">
        <f t="shared" si="23"/>
        <v>6.8101722270000006E-4</v>
      </c>
      <c r="K317">
        <f t="shared" si="24"/>
        <v>0.10930574947270001</v>
      </c>
    </row>
    <row r="318" spans="1:11" x14ac:dyDescent="0.35">
      <c r="A318" t="s">
        <v>158</v>
      </c>
      <c r="B318">
        <v>86341</v>
      </c>
      <c r="C318">
        <v>5.1458999999999998E-2</v>
      </c>
      <c r="D318" s="5">
        <v>6.2504687000000001E-6</v>
      </c>
      <c r="E318">
        <v>7.0505328000000006E-2</v>
      </c>
      <c r="F318">
        <v>-8.4290000000000007E-3</v>
      </c>
      <c r="G318" t="s">
        <v>204</v>
      </c>
      <c r="I318">
        <f t="shared" si="22"/>
        <v>5.1452749531299996E-2</v>
      </c>
      <c r="J318">
        <f t="shared" si="23"/>
        <v>7.0499077531300011E-2</v>
      </c>
      <c r="K318">
        <f t="shared" si="24"/>
        <v>-8.4352504687000007E-3</v>
      </c>
    </row>
    <row r="319" spans="1:11" x14ac:dyDescent="0.35">
      <c r="A319" t="s">
        <v>159</v>
      </c>
      <c r="B319">
        <v>86341</v>
      </c>
      <c r="C319">
        <v>0.20160700000000001</v>
      </c>
      <c r="D319" s="5">
        <v>4.7225344000000004E-6</v>
      </c>
      <c r="E319">
        <v>1.1831184E-2</v>
      </c>
      <c r="F319">
        <v>5.1088000000000001E-2</v>
      </c>
      <c r="G319" t="s">
        <v>204</v>
      </c>
      <c r="I319">
        <f t="shared" si="22"/>
        <v>0.2016022774656</v>
      </c>
      <c r="J319">
        <f t="shared" si="23"/>
        <v>1.1826461465599999E-2</v>
      </c>
      <c r="K319">
        <f t="shared" si="24"/>
        <v>5.1083277465599999E-2</v>
      </c>
    </row>
    <row r="320" spans="1:11" x14ac:dyDescent="0.35">
      <c r="A320" t="s">
        <v>160</v>
      </c>
      <c r="B320">
        <v>86341</v>
      </c>
      <c r="C320">
        <v>-0.183587</v>
      </c>
      <c r="D320" s="5">
        <v>4.3058058000000002E-6</v>
      </c>
      <c r="E320">
        <v>1.4391575E-2</v>
      </c>
      <c r="F320">
        <v>-6.1383E-2</v>
      </c>
      <c r="G320" t="s">
        <v>204</v>
      </c>
      <c r="I320">
        <f t="shared" si="22"/>
        <v>-0.18359130580579999</v>
      </c>
      <c r="J320">
        <f t="shared" si="23"/>
        <v>1.4387269194200001E-2</v>
      </c>
      <c r="K320">
        <f t="shared" si="24"/>
        <v>-6.1387305805799999E-2</v>
      </c>
    </row>
    <row r="321" spans="1:11" x14ac:dyDescent="0.35">
      <c r="A321" t="s">
        <v>161</v>
      </c>
      <c r="B321">
        <v>86341</v>
      </c>
      <c r="C321">
        <v>0.34475</v>
      </c>
      <c r="D321" s="5">
        <v>5.0002877000000001E-6</v>
      </c>
      <c r="E321">
        <v>3.1732204000000002E-3</v>
      </c>
      <c r="F321">
        <v>8.9694999999999997E-2</v>
      </c>
      <c r="G321" t="s">
        <v>204</v>
      </c>
      <c r="I321">
        <f t="shared" si="22"/>
        <v>0.34474499971229999</v>
      </c>
      <c r="J321">
        <f t="shared" si="23"/>
        <v>3.1682201123000003E-3</v>
      </c>
      <c r="K321">
        <f t="shared" si="24"/>
        <v>8.9689999712300003E-2</v>
      </c>
    </row>
    <row r="322" spans="1:11" x14ac:dyDescent="0.35">
      <c r="A322" t="s">
        <v>162</v>
      </c>
      <c r="B322">
        <v>86341</v>
      </c>
      <c r="C322">
        <v>0.21317800000000001</v>
      </c>
      <c r="D322" s="5">
        <v>5.1392584999999999E-6</v>
      </c>
      <c r="E322">
        <v>3.8786817000000001E-2</v>
      </c>
      <c r="F322">
        <v>1.9847E-2</v>
      </c>
      <c r="G322" t="s">
        <v>204</v>
      </c>
      <c r="I322">
        <f t="shared" si="22"/>
        <v>0.21317286074150002</v>
      </c>
      <c r="J322">
        <f t="shared" si="23"/>
        <v>3.8781677741500001E-2</v>
      </c>
      <c r="K322">
        <f t="shared" si="24"/>
        <v>1.98418607415E-2</v>
      </c>
    </row>
    <row r="323" spans="1:11" x14ac:dyDescent="0.35">
      <c r="A323" t="s">
        <v>163</v>
      </c>
      <c r="B323">
        <v>86341</v>
      </c>
      <c r="C323">
        <v>-0.26563199999999998</v>
      </c>
      <c r="D323" s="5">
        <v>5.0003378000000001E-6</v>
      </c>
      <c r="E323">
        <v>2.7987469999999999E-3</v>
      </c>
      <c r="F323">
        <v>-3.2563000000000002E-2</v>
      </c>
      <c r="G323" t="s">
        <v>204</v>
      </c>
      <c r="I323">
        <f t="shared" si="22"/>
        <v>-0.26563700033779997</v>
      </c>
      <c r="J323">
        <f t="shared" si="23"/>
        <v>2.7937466621999999E-3</v>
      </c>
      <c r="K323">
        <f t="shared" si="24"/>
        <v>-3.2568000337800003E-2</v>
      </c>
    </row>
    <row r="324" spans="1:11" x14ac:dyDescent="0.35">
      <c r="A324" t="s">
        <v>164</v>
      </c>
      <c r="B324">
        <v>86341</v>
      </c>
      <c r="C324">
        <v>-1.0566000000000001E-2</v>
      </c>
      <c r="D324" s="5">
        <v>6.8060649000000001E-6</v>
      </c>
      <c r="E324">
        <v>3.0445021000000002E-3</v>
      </c>
      <c r="F324">
        <v>6.8919999999999997E-3</v>
      </c>
      <c r="G324" t="s">
        <v>204</v>
      </c>
      <c r="I324">
        <f t="shared" si="22"/>
        <v>-1.0572806064900001E-2</v>
      </c>
      <c r="J324">
        <f t="shared" si="23"/>
        <v>3.0376960351E-3</v>
      </c>
      <c r="K324">
        <f t="shared" si="24"/>
        <v>6.8851939350999996E-3</v>
      </c>
    </row>
    <row r="325" spans="1:11" x14ac:dyDescent="0.35">
      <c r="A325" t="s">
        <v>165</v>
      </c>
      <c r="B325">
        <v>86341</v>
      </c>
      <c r="C325">
        <v>-0.136935</v>
      </c>
      <c r="D325" s="5">
        <v>5.5559721999999998E-6</v>
      </c>
      <c r="E325">
        <v>-2.7060966999999998E-2</v>
      </c>
      <c r="F325">
        <v>-2.9448999999999999E-2</v>
      </c>
      <c r="G325" t="s">
        <v>204</v>
      </c>
      <c r="I325">
        <f t="shared" si="22"/>
        <v>-0.13694055597220001</v>
      </c>
      <c r="J325">
        <f t="shared" si="23"/>
        <v>-2.7066522972199997E-2</v>
      </c>
      <c r="K325">
        <f t="shared" si="24"/>
        <v>-2.9454555972199998E-2</v>
      </c>
    </row>
    <row r="326" spans="1:11" x14ac:dyDescent="0.35">
      <c r="A326" t="s">
        <v>166</v>
      </c>
      <c r="B326">
        <v>86341</v>
      </c>
      <c r="C326">
        <v>-0.20378499999999999</v>
      </c>
      <c r="D326" s="5">
        <v>5.0003127000000001E-6</v>
      </c>
      <c r="E326">
        <v>4.0418684000000003E-2</v>
      </c>
      <c r="F326">
        <v>-8.3566000000000001E-2</v>
      </c>
      <c r="G326" t="s">
        <v>204</v>
      </c>
      <c r="I326">
        <f t="shared" si="22"/>
        <v>-0.2037900003127</v>
      </c>
      <c r="J326">
        <f t="shared" si="23"/>
        <v>4.04136836873E-2</v>
      </c>
      <c r="K326">
        <f t="shared" si="24"/>
        <v>-8.3571000312699997E-2</v>
      </c>
    </row>
    <row r="327" spans="1:11" x14ac:dyDescent="0.35">
      <c r="A327" t="s">
        <v>167</v>
      </c>
      <c r="B327">
        <v>86341</v>
      </c>
      <c r="C327">
        <v>-3.9305E-2</v>
      </c>
      <c r="D327" s="5">
        <v>6.9449747999999996E-6</v>
      </c>
      <c r="E327">
        <v>1.8747913000000001E-2</v>
      </c>
      <c r="F327">
        <v>-1.915E-2</v>
      </c>
      <c r="G327" t="s">
        <v>204</v>
      </c>
      <c r="I327">
        <f t="shared" si="22"/>
        <v>-3.9311944974799999E-2</v>
      </c>
      <c r="J327">
        <f t="shared" si="23"/>
        <v>1.8740968025200002E-2</v>
      </c>
      <c r="K327">
        <f t="shared" si="24"/>
        <v>-1.91569449748E-2</v>
      </c>
    </row>
    <row r="328" spans="1:11" x14ac:dyDescent="0.35">
      <c r="A328" t="s">
        <v>168</v>
      </c>
      <c r="B328">
        <v>86341</v>
      </c>
      <c r="C328">
        <v>0.20932400000000001</v>
      </c>
      <c r="D328" s="5">
        <v>1.2502110000000001E-5</v>
      </c>
      <c r="E328">
        <v>2.2173285000000001E-2</v>
      </c>
      <c r="F328">
        <v>5.4191999999999997E-2</v>
      </c>
      <c r="G328" t="s">
        <v>204</v>
      </c>
      <c r="I328">
        <f t="shared" si="22"/>
        <v>0.20931149789</v>
      </c>
      <c r="J328">
        <f t="shared" si="23"/>
        <v>2.2160782890000001E-2</v>
      </c>
      <c r="K328">
        <f t="shared" si="24"/>
        <v>5.4179497889999997E-2</v>
      </c>
    </row>
    <row r="329" spans="1:11" x14ac:dyDescent="0.35">
      <c r="A329" t="s">
        <v>169</v>
      </c>
      <c r="B329">
        <v>86341</v>
      </c>
      <c r="C329">
        <v>-0.132966</v>
      </c>
      <c r="D329" s="5">
        <v>1.3057516E-5</v>
      </c>
      <c r="E329">
        <v>3.2628167E-2</v>
      </c>
      <c r="F329">
        <v>3.1848000000000001E-2</v>
      </c>
      <c r="G329" t="s">
        <v>204</v>
      </c>
      <c r="I329">
        <f t="shared" si="22"/>
        <v>-0.132979057516</v>
      </c>
      <c r="J329">
        <f t="shared" si="23"/>
        <v>3.2615109484000003E-2</v>
      </c>
      <c r="K329">
        <f t="shared" si="24"/>
        <v>3.1834942484000005E-2</v>
      </c>
    </row>
    <row r="330" spans="1:11" x14ac:dyDescent="0.35">
      <c r="A330" t="s">
        <v>170</v>
      </c>
      <c r="B330">
        <v>86341</v>
      </c>
      <c r="C330">
        <v>-1.3689E-2</v>
      </c>
      <c r="D330" s="5">
        <v>1.2223941E-5</v>
      </c>
      <c r="E330">
        <v>2.0500966000000002E-3</v>
      </c>
      <c r="F330">
        <v>-4.2770000000000004E-3</v>
      </c>
      <c r="G330" t="s">
        <v>204</v>
      </c>
      <c r="I330">
        <f t="shared" si="22"/>
        <v>-1.3701223941E-2</v>
      </c>
      <c r="J330">
        <f t="shared" si="23"/>
        <v>2.037872659E-3</v>
      </c>
      <c r="K330">
        <f t="shared" si="24"/>
        <v>-4.2892239410000001E-3</v>
      </c>
    </row>
    <row r="331" spans="1:11" x14ac:dyDescent="0.35">
      <c r="A331" t="s">
        <v>171</v>
      </c>
      <c r="B331">
        <v>86341</v>
      </c>
      <c r="C331">
        <v>6.1281000000000002E-2</v>
      </c>
      <c r="D331" s="5">
        <v>2.0088781000000001E-5</v>
      </c>
      <c r="E331">
        <v>9.6190701999999996E-3</v>
      </c>
      <c r="F331">
        <v>1.7267000000000001E-2</v>
      </c>
      <c r="G331" t="s">
        <v>204</v>
      </c>
      <c r="I331">
        <f t="shared" si="22"/>
        <v>6.1260911219E-2</v>
      </c>
      <c r="J331">
        <f t="shared" si="23"/>
        <v>9.5989814189999991E-3</v>
      </c>
      <c r="K331">
        <f t="shared" si="24"/>
        <v>1.7246911219000002E-2</v>
      </c>
    </row>
    <row r="332" spans="1:11" x14ac:dyDescent="0.35">
      <c r="A332" t="s">
        <v>172</v>
      </c>
      <c r="B332">
        <v>86341</v>
      </c>
      <c r="C332">
        <v>-3.5000000000000001E-3</v>
      </c>
      <c r="D332" s="5">
        <v>1.8337871999999999E-5</v>
      </c>
      <c r="E332">
        <v>9.3579440999999996E-3</v>
      </c>
      <c r="F332">
        <v>-1.242E-3</v>
      </c>
      <c r="G332" t="s">
        <v>204</v>
      </c>
      <c r="I332">
        <f t="shared" si="22"/>
        <v>-3.5183378720000003E-3</v>
      </c>
      <c r="J332">
        <f t="shared" si="23"/>
        <v>9.3396062279999994E-3</v>
      </c>
      <c r="K332">
        <f t="shared" si="24"/>
        <v>-1.260337872E-3</v>
      </c>
    </row>
    <row r="333" spans="1:11" x14ac:dyDescent="0.35">
      <c r="A333" t="s">
        <v>173</v>
      </c>
      <c r="B333">
        <v>86341</v>
      </c>
      <c r="C333">
        <v>-0.14662</v>
      </c>
      <c r="D333" s="5">
        <v>2.0282302999999999E-5</v>
      </c>
      <c r="E333">
        <v>9.6782167000000006E-3</v>
      </c>
      <c r="F333">
        <v>-2.1555000000000001E-2</v>
      </c>
      <c r="G333" t="s">
        <v>204</v>
      </c>
      <c r="I333">
        <f t="shared" si="22"/>
        <v>-0.146640282303</v>
      </c>
      <c r="J333">
        <f t="shared" si="23"/>
        <v>9.6579343970000005E-3</v>
      </c>
      <c r="K333">
        <f t="shared" si="24"/>
        <v>-2.1575282303000001E-2</v>
      </c>
    </row>
    <row r="334" spans="1:11" x14ac:dyDescent="0.35">
      <c r="A334" t="s">
        <v>174</v>
      </c>
      <c r="B334">
        <v>86341</v>
      </c>
      <c r="C334">
        <v>3.0863999999999999E-2</v>
      </c>
      <c r="D334" s="5">
        <v>2.2784785000000001E-5</v>
      </c>
      <c r="E334">
        <v>1.7181420999999999E-2</v>
      </c>
      <c r="F334">
        <v>2.3132E-2</v>
      </c>
      <c r="G334" t="s">
        <v>204</v>
      </c>
      <c r="I334">
        <f t="shared" si="22"/>
        <v>3.0841215214999999E-2</v>
      </c>
      <c r="J334">
        <f t="shared" si="23"/>
        <v>1.7158636214999998E-2</v>
      </c>
      <c r="K334">
        <f t="shared" si="24"/>
        <v>2.3109215214999999E-2</v>
      </c>
    </row>
    <row r="335" spans="1:11" x14ac:dyDescent="0.35">
      <c r="A335" t="s">
        <v>175</v>
      </c>
      <c r="B335">
        <v>86341</v>
      </c>
      <c r="C335">
        <v>1.1976000000000001E-2</v>
      </c>
      <c r="D335" s="5">
        <v>2.6814181E-5</v>
      </c>
      <c r="E335">
        <v>1.6129673E-3</v>
      </c>
      <c r="F335">
        <v>4.1987999999999998E-2</v>
      </c>
      <c r="G335" t="s">
        <v>204</v>
      </c>
      <c r="I335">
        <f t="shared" si="22"/>
        <v>1.1949185819000001E-2</v>
      </c>
      <c r="J335">
        <f t="shared" si="23"/>
        <v>1.586153119E-3</v>
      </c>
      <c r="K335">
        <f t="shared" si="24"/>
        <v>4.1961185818999998E-2</v>
      </c>
    </row>
    <row r="336" spans="1:11" x14ac:dyDescent="0.35">
      <c r="A336" t="s">
        <v>176</v>
      </c>
      <c r="B336">
        <v>86341</v>
      </c>
      <c r="C336">
        <v>-8.3825999999999998E-2</v>
      </c>
      <c r="D336" s="5">
        <v>2.4980956E-5</v>
      </c>
      <c r="E336">
        <v>2.3813292E-2</v>
      </c>
      <c r="F336">
        <v>-3.3699E-2</v>
      </c>
      <c r="G336" t="s">
        <v>204</v>
      </c>
      <c r="I336">
        <f t="shared" si="22"/>
        <v>-8.3850980955999993E-2</v>
      </c>
      <c r="J336">
        <f t="shared" si="23"/>
        <v>2.3788311044000001E-2</v>
      </c>
      <c r="K336">
        <f t="shared" si="24"/>
        <v>-3.3723980956000002E-2</v>
      </c>
    </row>
    <row r="337" spans="1:11" x14ac:dyDescent="0.35">
      <c r="A337" t="s">
        <v>177</v>
      </c>
      <c r="B337">
        <v>86341</v>
      </c>
      <c r="C337">
        <v>1.0759999999999999E-3</v>
      </c>
      <c r="D337" s="5">
        <v>2.6120319999999999E-5</v>
      </c>
      <c r="E337">
        <v>2.134813E-2</v>
      </c>
      <c r="F337">
        <v>-7.4850000000000003E-3</v>
      </c>
      <c r="G337" t="s">
        <v>204</v>
      </c>
      <c r="I337">
        <f t="shared" si="22"/>
        <v>1.04987968E-3</v>
      </c>
      <c r="J337">
        <f t="shared" si="23"/>
        <v>2.132200968E-2</v>
      </c>
      <c r="K337">
        <f t="shared" si="24"/>
        <v>-7.5111203200000001E-3</v>
      </c>
    </row>
    <row r="338" spans="1:11" x14ac:dyDescent="0.35">
      <c r="A338" t="s">
        <v>178</v>
      </c>
      <c r="B338">
        <v>86341</v>
      </c>
      <c r="C338">
        <v>0.123656</v>
      </c>
      <c r="D338" s="5">
        <v>2.6814181E-5</v>
      </c>
      <c r="E338">
        <v>2.7409703000000001E-2</v>
      </c>
      <c r="F338">
        <v>3.5630000000000002E-3</v>
      </c>
      <c r="G338" t="s">
        <v>204</v>
      </c>
      <c r="I338">
        <f t="shared" si="22"/>
        <v>0.123629185819</v>
      </c>
      <c r="J338">
        <f t="shared" si="23"/>
        <v>2.7382888819000001E-2</v>
      </c>
      <c r="K338">
        <f t="shared" si="24"/>
        <v>3.536185819E-3</v>
      </c>
    </row>
    <row r="339" spans="1:11" x14ac:dyDescent="0.35">
      <c r="A339" t="s">
        <v>179</v>
      </c>
      <c r="B339">
        <v>86341</v>
      </c>
      <c r="C339">
        <v>-2.4879999999999999E-2</v>
      </c>
      <c r="D339" s="5">
        <v>3.0985658999999998E-5</v>
      </c>
      <c r="E339">
        <v>1.2286760000000001E-2</v>
      </c>
      <c r="F339">
        <v>2.1056999999999999E-2</v>
      </c>
      <c r="G339" t="s">
        <v>204</v>
      </c>
      <c r="I339">
        <f t="shared" si="22"/>
        <v>-2.4910985659E-2</v>
      </c>
      <c r="J339">
        <f t="shared" si="23"/>
        <v>1.2255774341000001E-2</v>
      </c>
      <c r="K339">
        <f t="shared" si="24"/>
        <v>2.1026014340999998E-2</v>
      </c>
    </row>
    <row r="340" spans="1:11" x14ac:dyDescent="0.35">
      <c r="A340" t="s">
        <v>180</v>
      </c>
      <c r="B340">
        <v>86341</v>
      </c>
      <c r="C340">
        <v>0.10696799999999999</v>
      </c>
      <c r="D340" s="5">
        <v>3.4738506999999999E-5</v>
      </c>
      <c r="E340">
        <v>5.0687826999999998E-2</v>
      </c>
      <c r="F340">
        <v>3.2349000000000003E-2</v>
      </c>
      <c r="G340" t="s">
        <v>204</v>
      </c>
      <c r="I340">
        <f t="shared" si="22"/>
        <v>0.10693326149299999</v>
      </c>
      <c r="J340">
        <f t="shared" si="23"/>
        <v>5.0653088493000001E-2</v>
      </c>
      <c r="K340">
        <f t="shared" si="24"/>
        <v>3.2314261493000006E-2</v>
      </c>
    </row>
    <row r="341" spans="1:11" x14ac:dyDescent="0.35">
      <c r="A341" t="s">
        <v>181</v>
      </c>
      <c r="B341">
        <v>86341</v>
      </c>
      <c r="C341">
        <v>-0.171986</v>
      </c>
      <c r="D341" s="5">
        <v>3.2789600999999998E-5</v>
      </c>
      <c r="E341">
        <v>-3.9435158999999997E-2</v>
      </c>
      <c r="F341">
        <v>-2.0760000000000001E-2</v>
      </c>
      <c r="G341" t="s">
        <v>204</v>
      </c>
      <c r="I341">
        <f t="shared" si="22"/>
        <v>-0.17201878960100001</v>
      </c>
      <c r="J341">
        <f t="shared" si="23"/>
        <v>-3.9467948600999996E-2</v>
      </c>
      <c r="K341">
        <f t="shared" si="24"/>
        <v>-2.0792789601000002E-2</v>
      </c>
    </row>
    <row r="342" spans="1:11" x14ac:dyDescent="0.35">
      <c r="A342" t="s">
        <v>182</v>
      </c>
      <c r="B342">
        <v>86341</v>
      </c>
      <c r="C342">
        <v>2.2443999999999999E-2</v>
      </c>
      <c r="D342" s="5">
        <v>3.7376473999999999E-5</v>
      </c>
      <c r="E342">
        <v>-1.8494523999999998E-2</v>
      </c>
      <c r="F342">
        <v>6.3200000000000001E-3</v>
      </c>
      <c r="G342" t="s">
        <v>204</v>
      </c>
      <c r="I342">
        <f t="shared" si="22"/>
        <v>2.2406623525999998E-2</v>
      </c>
      <c r="J342">
        <f t="shared" si="23"/>
        <v>-1.8531900473999999E-2</v>
      </c>
      <c r="K342">
        <f t="shared" si="24"/>
        <v>6.2826235259999998E-3</v>
      </c>
    </row>
    <row r="343" spans="1:11" x14ac:dyDescent="0.35">
      <c r="A343" t="s">
        <v>183</v>
      </c>
      <c r="B343">
        <v>86341</v>
      </c>
      <c r="C343">
        <v>-5.3740999999999997E-2</v>
      </c>
      <c r="D343" s="5">
        <v>4.4472123E-5</v>
      </c>
      <c r="E343">
        <v>4.8402747999999997E-3</v>
      </c>
      <c r="F343">
        <v>-9.5399999999999999E-3</v>
      </c>
      <c r="G343" t="s">
        <v>204</v>
      </c>
      <c r="I343">
        <f t="shared" si="22"/>
        <v>-5.3785472123E-2</v>
      </c>
      <c r="J343">
        <f t="shared" si="23"/>
        <v>4.7958026769999995E-3</v>
      </c>
      <c r="K343">
        <f t="shared" si="24"/>
        <v>-9.5844721229999992E-3</v>
      </c>
    </row>
    <row r="344" spans="1:11" x14ac:dyDescent="0.35">
      <c r="A344" t="s">
        <v>184</v>
      </c>
      <c r="B344">
        <v>86341</v>
      </c>
      <c r="C344">
        <v>-4.0089E-2</v>
      </c>
      <c r="D344" s="5">
        <v>4.5024317000000002E-5</v>
      </c>
      <c r="E344">
        <v>2.6277516000000001E-2</v>
      </c>
      <c r="F344">
        <v>-1.1958999999999999E-2</v>
      </c>
      <c r="G344" t="s">
        <v>204</v>
      </c>
      <c r="I344">
        <f t="shared" si="22"/>
        <v>-4.0134024317E-2</v>
      </c>
      <c r="J344">
        <f t="shared" si="23"/>
        <v>2.6232491683E-2</v>
      </c>
      <c r="K344">
        <f t="shared" si="24"/>
        <v>-1.2004024316999999E-2</v>
      </c>
    </row>
    <row r="345" spans="1:11" x14ac:dyDescent="0.35">
      <c r="A345" t="s">
        <v>185</v>
      </c>
      <c r="B345">
        <v>86341</v>
      </c>
      <c r="C345">
        <v>-4.7564000000000002E-2</v>
      </c>
      <c r="D345" s="5">
        <v>4.7670687999999998E-5</v>
      </c>
      <c r="E345">
        <v>5.2912380000000002E-3</v>
      </c>
      <c r="F345">
        <v>-3.6149000000000001E-2</v>
      </c>
      <c r="G345" t="s">
        <v>204</v>
      </c>
      <c r="I345">
        <f t="shared" si="22"/>
        <v>-4.7611670687999999E-2</v>
      </c>
      <c r="J345">
        <f t="shared" si="23"/>
        <v>5.2435673119999998E-3</v>
      </c>
      <c r="K345">
        <f t="shared" si="24"/>
        <v>-3.6196670687999997E-2</v>
      </c>
    </row>
    <row r="346" spans="1:11" x14ac:dyDescent="0.35">
      <c r="A346" t="s">
        <v>186</v>
      </c>
      <c r="B346">
        <v>86341</v>
      </c>
      <c r="C346">
        <v>8.2825999999999997E-2</v>
      </c>
      <c r="D346" s="5">
        <v>4.8086759999999999E-5</v>
      </c>
      <c r="E346">
        <v>3.1689063000000003E-2</v>
      </c>
      <c r="F346">
        <v>-2.2419000000000001E-2</v>
      </c>
      <c r="G346" t="s">
        <v>204</v>
      </c>
      <c r="I346">
        <f t="shared" si="22"/>
        <v>8.2777913240000001E-2</v>
      </c>
      <c r="J346">
        <f t="shared" si="23"/>
        <v>3.164097624E-2</v>
      </c>
      <c r="K346">
        <f t="shared" si="24"/>
        <v>-2.2467086760000001E-2</v>
      </c>
    </row>
    <row r="347" spans="1:11" x14ac:dyDescent="0.35">
      <c r="A347" t="s">
        <v>187</v>
      </c>
      <c r="B347">
        <v>86341</v>
      </c>
      <c r="C347">
        <v>-0.110236</v>
      </c>
      <c r="D347" s="5">
        <v>5.1975497999999999E-5</v>
      </c>
      <c r="E347">
        <v>3.0351875E-2</v>
      </c>
      <c r="F347">
        <v>-2.1381000000000001E-2</v>
      </c>
      <c r="G347" t="s">
        <v>204</v>
      </c>
      <c r="I347">
        <f t="shared" si="22"/>
        <v>-0.110287975498</v>
      </c>
      <c r="J347">
        <f t="shared" si="23"/>
        <v>3.0299899501999999E-2</v>
      </c>
      <c r="K347">
        <f t="shared" si="24"/>
        <v>-2.1432975498000002E-2</v>
      </c>
    </row>
    <row r="348" spans="1:11" x14ac:dyDescent="0.35">
      <c r="A348" t="s">
        <v>188</v>
      </c>
      <c r="B348">
        <v>86341</v>
      </c>
      <c r="C348">
        <v>8.4703000000000001E-2</v>
      </c>
      <c r="D348" s="5">
        <v>5.2954507000000002E-5</v>
      </c>
      <c r="E348">
        <v>4.7995379999999998E-4</v>
      </c>
      <c r="F348">
        <v>-6.607E-3</v>
      </c>
      <c r="G348" t="s">
        <v>204</v>
      </c>
      <c r="I348">
        <f t="shared" si="22"/>
        <v>8.4650045492999995E-2</v>
      </c>
      <c r="J348">
        <f t="shared" si="23"/>
        <v>4.2699929299999998E-4</v>
      </c>
      <c r="K348">
        <f t="shared" si="24"/>
        <v>-6.6599545070000002E-3</v>
      </c>
    </row>
    <row r="349" spans="1:11" x14ac:dyDescent="0.35">
      <c r="A349" t="s">
        <v>189</v>
      </c>
      <c r="B349">
        <v>86341</v>
      </c>
      <c r="C349">
        <v>9.6737000000000004E-2</v>
      </c>
      <c r="D349" s="5">
        <v>5.7961999000000002E-5</v>
      </c>
      <c r="E349">
        <v>-7.2749645000000002E-2</v>
      </c>
      <c r="F349">
        <v>2.1194999999999999E-2</v>
      </c>
      <c r="G349" t="s">
        <v>204</v>
      </c>
      <c r="I349">
        <f t="shared" si="22"/>
        <v>9.6679038001000001E-2</v>
      </c>
      <c r="J349">
        <f t="shared" si="23"/>
        <v>-7.2807606999000005E-2</v>
      </c>
      <c r="K349">
        <f t="shared" si="24"/>
        <v>2.1137038000999999E-2</v>
      </c>
    </row>
    <row r="350" spans="1:11" x14ac:dyDescent="0.35">
      <c r="A350" t="s">
        <v>190</v>
      </c>
      <c r="B350">
        <v>86341</v>
      </c>
      <c r="C350">
        <v>5.4198000000000003E-2</v>
      </c>
      <c r="D350" s="5">
        <v>5.9763279E-5</v>
      </c>
      <c r="E350">
        <v>4.4112142E-2</v>
      </c>
      <c r="F350">
        <v>3.3869999999999998E-3</v>
      </c>
      <c r="G350" t="s">
        <v>204</v>
      </c>
      <c r="I350">
        <f t="shared" si="22"/>
        <v>5.4138236721000002E-2</v>
      </c>
      <c r="J350">
        <f t="shared" si="23"/>
        <v>4.4052378720999999E-2</v>
      </c>
      <c r="K350">
        <f t="shared" si="24"/>
        <v>3.3272367209999996E-3</v>
      </c>
    </row>
    <row r="351" spans="1:11" x14ac:dyDescent="0.35">
      <c r="A351" t="s">
        <v>191</v>
      </c>
      <c r="B351">
        <v>86341</v>
      </c>
      <c r="C351">
        <v>0.265121</v>
      </c>
      <c r="D351" s="5">
        <v>6.1300699999999994E-5</v>
      </c>
      <c r="E351">
        <v>-7.4872575999999996E-2</v>
      </c>
      <c r="F351">
        <v>4.9419999999999999E-2</v>
      </c>
      <c r="G351" t="s">
        <v>204</v>
      </c>
      <c r="I351">
        <f t="shared" si="22"/>
        <v>0.26505969930000001</v>
      </c>
      <c r="J351">
        <f t="shared" si="23"/>
        <v>-7.4933876699999999E-2</v>
      </c>
      <c r="K351">
        <f t="shared" si="24"/>
        <v>4.9358699299999996E-2</v>
      </c>
    </row>
    <row r="352" spans="1:11" x14ac:dyDescent="0.35">
      <c r="A352" t="s">
        <v>192</v>
      </c>
      <c r="B352">
        <v>86341</v>
      </c>
      <c r="C352">
        <v>0.13864499999999999</v>
      </c>
      <c r="D352" s="5">
        <v>6.2691921000000006E-5</v>
      </c>
      <c r="E352">
        <v>8.8008939999999994E-2</v>
      </c>
      <c r="F352">
        <v>2.8865999999999999E-2</v>
      </c>
      <c r="G352" t="s">
        <v>204</v>
      </c>
      <c r="I352">
        <f t="shared" si="22"/>
        <v>0.13858230807899999</v>
      </c>
      <c r="J352">
        <f t="shared" si="23"/>
        <v>8.7946248078999992E-2</v>
      </c>
      <c r="K352">
        <f t="shared" si="24"/>
        <v>2.8803308079000001E-2</v>
      </c>
    </row>
    <row r="353" spans="1:11" x14ac:dyDescent="0.35">
      <c r="A353" t="s">
        <v>193</v>
      </c>
      <c r="B353">
        <v>86341</v>
      </c>
      <c r="C353">
        <v>-8.397E-3</v>
      </c>
      <c r="D353" s="5">
        <v>6.5894084000000006E-5</v>
      </c>
      <c r="E353">
        <v>3.2714512000000001E-2</v>
      </c>
      <c r="F353">
        <v>-6.0920000000000002E-3</v>
      </c>
      <c r="G353" t="s">
        <v>204</v>
      </c>
      <c r="I353">
        <f t="shared" si="22"/>
        <v>-8.462894084E-3</v>
      </c>
      <c r="J353">
        <f t="shared" si="23"/>
        <v>3.2648617916000003E-2</v>
      </c>
      <c r="K353">
        <f t="shared" si="24"/>
        <v>-6.1578940840000002E-3</v>
      </c>
    </row>
    <row r="354" spans="1:11" x14ac:dyDescent="0.35">
      <c r="A354" t="s">
        <v>194</v>
      </c>
      <c r="B354">
        <v>86341</v>
      </c>
      <c r="C354">
        <v>-7.0721000000000006E-2</v>
      </c>
      <c r="D354" s="5">
        <v>6.4920080999999997E-5</v>
      </c>
      <c r="E354">
        <v>1.3366196E-2</v>
      </c>
      <c r="F354">
        <v>-1.5969000000000001E-2</v>
      </c>
      <c r="G354" t="s">
        <v>204</v>
      </c>
      <c r="I354">
        <f t="shared" si="22"/>
        <v>-7.0785920081000001E-2</v>
      </c>
      <c r="J354">
        <f t="shared" si="23"/>
        <v>1.3301275919000001E-2</v>
      </c>
      <c r="K354">
        <f t="shared" si="24"/>
        <v>-1.6033920081000002E-2</v>
      </c>
    </row>
    <row r="355" spans="1:11" x14ac:dyDescent="0.35">
      <c r="A355" t="s">
        <v>195</v>
      </c>
      <c r="B355">
        <v>86341</v>
      </c>
      <c r="C355">
        <v>-9.9237000000000006E-2</v>
      </c>
      <c r="D355" s="5">
        <v>6.4361448000000001E-5</v>
      </c>
      <c r="E355">
        <v>3.7867329999999998E-2</v>
      </c>
      <c r="F355">
        <v>-6.6389999999999999E-3</v>
      </c>
      <c r="G355" t="s">
        <v>204</v>
      </c>
      <c r="I355">
        <f t="shared" si="22"/>
        <v>-9.9301361448000003E-2</v>
      </c>
      <c r="J355">
        <f t="shared" si="23"/>
        <v>3.7802968552000001E-2</v>
      </c>
      <c r="K355">
        <f t="shared" si="24"/>
        <v>-6.7033614479999996E-3</v>
      </c>
    </row>
    <row r="356" spans="1:11" x14ac:dyDescent="0.35">
      <c r="A356" t="s">
        <v>196</v>
      </c>
      <c r="B356">
        <v>86341</v>
      </c>
      <c r="C356">
        <v>0.12627099999999999</v>
      </c>
      <c r="D356" s="5">
        <v>6.5744126999999993E-5</v>
      </c>
      <c r="E356">
        <v>-6.1593663E-2</v>
      </c>
      <c r="F356">
        <v>1.7573999999999999E-2</v>
      </c>
      <c r="G356" t="s">
        <v>204</v>
      </c>
      <c r="I356">
        <f t="shared" si="22"/>
        <v>0.12620525587299999</v>
      </c>
      <c r="J356">
        <f t="shared" si="23"/>
        <v>-6.1659407127E-2</v>
      </c>
      <c r="K356">
        <f t="shared" si="24"/>
        <v>1.7508255872999999E-2</v>
      </c>
    </row>
    <row r="357" spans="1:11" x14ac:dyDescent="0.35">
      <c r="A357" t="s">
        <v>197</v>
      </c>
      <c r="B357">
        <v>86341</v>
      </c>
      <c r="C357">
        <v>0.34010499999999999</v>
      </c>
      <c r="D357" s="5">
        <v>6.2413674000000004E-5</v>
      </c>
      <c r="E357">
        <v>6.7385903999999996E-2</v>
      </c>
      <c r="F357">
        <v>8.0029000000000003E-2</v>
      </c>
      <c r="G357" t="s">
        <v>204</v>
      </c>
      <c r="I357">
        <f t="shared" si="22"/>
        <v>0.34004258632599998</v>
      </c>
      <c r="J357">
        <f t="shared" si="23"/>
        <v>6.7323490325999991E-2</v>
      </c>
      <c r="K357">
        <f t="shared" si="24"/>
        <v>7.9966586325999997E-2</v>
      </c>
    </row>
    <row r="358" spans="1:11" x14ac:dyDescent="0.35">
      <c r="A358" t="s">
        <v>198</v>
      </c>
      <c r="B358">
        <v>86341</v>
      </c>
      <c r="C358">
        <v>-4.2111000000000003E-2</v>
      </c>
      <c r="D358" s="5">
        <v>5.4067222999999999E-5</v>
      </c>
      <c r="E358">
        <v>1.3151872E-2</v>
      </c>
      <c r="F358">
        <v>7.4999999999999993E-5</v>
      </c>
      <c r="G358" t="s">
        <v>204</v>
      </c>
      <c r="I358">
        <f t="shared" si="22"/>
        <v>-4.2165067223000001E-2</v>
      </c>
      <c r="J358">
        <f t="shared" si="23"/>
        <v>1.3097804777E-2</v>
      </c>
      <c r="K358">
        <f t="shared" si="24"/>
        <v>2.0932776999999994E-5</v>
      </c>
    </row>
    <row r="359" spans="1:11" x14ac:dyDescent="0.35">
      <c r="A359" t="s">
        <v>199</v>
      </c>
      <c r="B359">
        <v>86341</v>
      </c>
      <c r="C359">
        <v>0.33352900000000002</v>
      </c>
      <c r="D359" s="5">
        <v>5.5450476999999997E-5</v>
      </c>
      <c r="E359">
        <v>-2.0256182000000001E-2</v>
      </c>
      <c r="F359">
        <v>7.9122999999999999E-2</v>
      </c>
      <c r="G359" t="s">
        <v>204</v>
      </c>
      <c r="I359">
        <f t="shared" si="22"/>
        <v>0.33347354952300001</v>
      </c>
      <c r="J359">
        <f t="shared" si="23"/>
        <v>-2.0311632477000002E-2</v>
      </c>
      <c r="K359">
        <f t="shared" si="24"/>
        <v>7.9067549523000005E-2</v>
      </c>
    </row>
    <row r="360" spans="1:11" x14ac:dyDescent="0.35">
      <c r="A360" t="s">
        <v>200</v>
      </c>
      <c r="B360">
        <v>86341</v>
      </c>
      <c r="C360">
        <v>-0.19692299999999999</v>
      </c>
      <c r="D360" s="5">
        <v>5.3928131999999997E-5</v>
      </c>
      <c r="E360">
        <v>1.5959764000000001E-2</v>
      </c>
      <c r="F360">
        <v>-3.3947999999999999E-2</v>
      </c>
      <c r="G360" t="s">
        <v>204</v>
      </c>
      <c r="I360">
        <f t="shared" si="22"/>
        <v>-0.19697692813199999</v>
      </c>
      <c r="J360">
        <f t="shared" si="23"/>
        <v>1.5905835868000002E-2</v>
      </c>
      <c r="K360">
        <f t="shared" si="24"/>
        <v>-3.4001928132000002E-2</v>
      </c>
    </row>
    <row r="361" spans="1:11" x14ac:dyDescent="0.35">
      <c r="A361" t="s">
        <v>201</v>
      </c>
      <c r="B361">
        <v>86341</v>
      </c>
      <c r="C361">
        <v>0.208539</v>
      </c>
      <c r="D361" s="5">
        <v>4.7833000000000001E-5</v>
      </c>
      <c r="E361">
        <v>2.0895692E-2</v>
      </c>
      <c r="F361">
        <v>2.5635000000000002E-2</v>
      </c>
      <c r="G361" t="s">
        <v>204</v>
      </c>
      <c r="I361">
        <f t="shared" si="22"/>
        <v>0.20849116700000001</v>
      </c>
      <c r="J361">
        <f t="shared" si="23"/>
        <v>2.0847859E-2</v>
      </c>
      <c r="K361">
        <f t="shared" si="24"/>
        <v>2.5587167000000001E-2</v>
      </c>
    </row>
    <row r="362" spans="1:11" x14ac:dyDescent="0.35">
      <c r="A362" t="s">
        <v>202</v>
      </c>
      <c r="B362">
        <v>86341</v>
      </c>
      <c r="C362">
        <v>-0.137681</v>
      </c>
      <c r="D362" s="5">
        <v>4.0996583E-5</v>
      </c>
      <c r="E362">
        <v>3.6646235999999999E-2</v>
      </c>
      <c r="F362">
        <v>-3.2086000000000003E-2</v>
      </c>
      <c r="G362" t="s">
        <v>204</v>
      </c>
      <c r="I362">
        <f t="shared" si="22"/>
        <v>-0.13772199658299999</v>
      </c>
      <c r="J362">
        <f t="shared" si="23"/>
        <v>3.6605239417000002E-2</v>
      </c>
      <c r="K362">
        <f t="shared" si="24"/>
        <v>-3.2126996583E-2</v>
      </c>
    </row>
    <row r="363" spans="1:11" x14ac:dyDescent="0.35">
      <c r="A363" t="s">
        <v>203</v>
      </c>
      <c r="B363">
        <v>86341</v>
      </c>
      <c r="C363">
        <v>0.173319</v>
      </c>
      <c r="D363" s="5">
        <v>4.2802500999999998E-5</v>
      </c>
      <c r="E363">
        <v>2.8492387000000001E-2</v>
      </c>
      <c r="F363">
        <v>3.6559000000000001E-2</v>
      </c>
      <c r="G363" t="s">
        <v>204</v>
      </c>
      <c r="I363">
        <f t="shared" si="22"/>
        <v>0.173276197499</v>
      </c>
      <c r="J363">
        <f t="shared" si="23"/>
        <v>2.8449584499000001E-2</v>
      </c>
      <c r="K363">
        <f t="shared" si="24"/>
        <v>3.6516197499000001E-2</v>
      </c>
    </row>
    <row r="365" spans="1:11" x14ac:dyDescent="0.35">
      <c r="A365" t="s">
        <v>23</v>
      </c>
      <c r="B365">
        <v>71298</v>
      </c>
      <c r="C365">
        <v>-9.7439999999999999E-2</v>
      </c>
      <c r="D365" s="5">
        <v>4.7948841000000003E-5</v>
      </c>
      <c r="E365">
        <v>-2.6517817999999999E-2</v>
      </c>
      <c r="F365">
        <v>-3.6073000000000001E-2</v>
      </c>
      <c r="G365" t="s">
        <v>205</v>
      </c>
      <c r="I365">
        <f t="shared" si="22"/>
        <v>-9.7487948840999997E-2</v>
      </c>
      <c r="J365">
        <f t="shared" si="23"/>
        <v>-2.6565766841E-2</v>
      </c>
      <c r="K365">
        <f t="shared" si="24"/>
        <v>-3.6120948840999999E-2</v>
      </c>
    </row>
    <row r="366" spans="1:11" x14ac:dyDescent="0.35">
      <c r="A366" t="s">
        <v>25</v>
      </c>
      <c r="B366">
        <v>71298</v>
      </c>
      <c r="C366">
        <v>0.139067</v>
      </c>
      <c r="D366" s="5">
        <v>5.5244941999999998E-5</v>
      </c>
      <c r="E366">
        <v>2.2697801E-2</v>
      </c>
      <c r="F366">
        <v>3.0790999999999999E-2</v>
      </c>
      <c r="G366" t="s">
        <v>205</v>
      </c>
      <c r="I366">
        <f t="shared" si="22"/>
        <v>0.13901175505800001</v>
      </c>
      <c r="J366">
        <f t="shared" si="23"/>
        <v>2.2642556058000002E-2</v>
      </c>
      <c r="K366">
        <f t="shared" si="24"/>
        <v>3.0735755058000001E-2</v>
      </c>
    </row>
    <row r="367" spans="1:11" x14ac:dyDescent="0.35">
      <c r="A367" t="s">
        <v>26</v>
      </c>
      <c r="B367">
        <v>71298</v>
      </c>
      <c r="C367">
        <v>-3.7751E-2</v>
      </c>
      <c r="D367" s="5">
        <v>6.8319866999999999E-5</v>
      </c>
      <c r="E367">
        <v>-1.6850591000000002E-2</v>
      </c>
      <c r="F367">
        <v>-1.6084999999999999E-2</v>
      </c>
      <c r="G367" t="s">
        <v>205</v>
      </c>
      <c r="I367">
        <f t="shared" si="22"/>
        <v>-3.7819319866999997E-2</v>
      </c>
      <c r="J367">
        <f t="shared" si="23"/>
        <v>-1.6918910867000002E-2</v>
      </c>
      <c r="K367">
        <f t="shared" si="24"/>
        <v>-1.6153319866999999E-2</v>
      </c>
    </row>
    <row r="368" spans="1:11" x14ac:dyDescent="0.35">
      <c r="A368" t="s">
        <v>27</v>
      </c>
      <c r="B368">
        <v>71298</v>
      </c>
      <c r="C368">
        <v>-6.8446999999999994E-2</v>
      </c>
      <c r="D368" s="5">
        <v>7.1599496999999996E-5</v>
      </c>
      <c r="E368">
        <v>-2.5221592000000001E-2</v>
      </c>
      <c r="F368">
        <v>1.2377000000000001E-2</v>
      </c>
      <c r="G368" t="s">
        <v>205</v>
      </c>
      <c r="I368">
        <f t="shared" si="22"/>
        <v>-6.8518599496999996E-2</v>
      </c>
      <c r="J368">
        <f t="shared" si="23"/>
        <v>-2.5293191497E-2</v>
      </c>
      <c r="K368">
        <f t="shared" si="24"/>
        <v>1.2305400503E-2</v>
      </c>
    </row>
    <row r="369" spans="1:11" x14ac:dyDescent="0.35">
      <c r="A369" t="s">
        <v>28</v>
      </c>
      <c r="B369">
        <v>71298</v>
      </c>
      <c r="C369">
        <v>3.4945999999999998E-2</v>
      </c>
      <c r="D369" s="5">
        <v>7.3475609999999999E-5</v>
      </c>
      <c r="E369">
        <v>3.7993193000000001E-2</v>
      </c>
      <c r="F369">
        <v>-3.9216000000000001E-2</v>
      </c>
      <c r="G369" t="s">
        <v>205</v>
      </c>
      <c r="I369">
        <f t="shared" si="22"/>
        <v>3.487252439E-2</v>
      </c>
      <c r="J369">
        <f t="shared" si="23"/>
        <v>3.7919717390000003E-2</v>
      </c>
      <c r="K369">
        <f t="shared" si="24"/>
        <v>-3.9289475609999999E-2</v>
      </c>
    </row>
    <row r="370" spans="1:11" x14ac:dyDescent="0.35">
      <c r="A370" t="s">
        <v>29</v>
      </c>
      <c r="B370">
        <v>71298</v>
      </c>
      <c r="C370">
        <v>8.8733999999999993E-2</v>
      </c>
      <c r="D370" s="5">
        <v>7.5899545000000004E-5</v>
      </c>
      <c r="E370">
        <v>1.1474352E-2</v>
      </c>
      <c r="F370">
        <v>4.2977000000000001E-2</v>
      </c>
      <c r="G370" t="s">
        <v>205</v>
      </c>
      <c r="I370">
        <f t="shared" si="22"/>
        <v>8.8658100455E-2</v>
      </c>
      <c r="J370">
        <f t="shared" si="23"/>
        <v>1.1398452454999999E-2</v>
      </c>
      <c r="K370">
        <f t="shared" si="24"/>
        <v>4.2901100455000001E-2</v>
      </c>
    </row>
    <row r="371" spans="1:11" x14ac:dyDescent="0.35">
      <c r="A371" t="s">
        <v>30</v>
      </c>
      <c r="B371">
        <v>71298</v>
      </c>
      <c r="C371">
        <v>-2.1174999999999999E-2</v>
      </c>
      <c r="D371" s="5">
        <v>8.1133752000000001E-5</v>
      </c>
      <c r="E371">
        <v>4.3326780000000002E-2</v>
      </c>
      <c r="F371">
        <v>-1.4272999999999999E-2</v>
      </c>
      <c r="G371" t="s">
        <v>205</v>
      </c>
      <c r="I371">
        <f t="shared" si="22"/>
        <v>-2.1256133752E-2</v>
      </c>
      <c r="J371">
        <f t="shared" si="23"/>
        <v>4.3245646248000001E-2</v>
      </c>
      <c r="K371">
        <f t="shared" si="24"/>
        <v>-1.4354133751999999E-2</v>
      </c>
    </row>
    <row r="372" spans="1:11" x14ac:dyDescent="0.35">
      <c r="A372" t="s">
        <v>31</v>
      </c>
      <c r="B372">
        <v>71298</v>
      </c>
      <c r="C372">
        <v>7.0204000000000003E-2</v>
      </c>
      <c r="D372" s="5">
        <v>8.8369225999999999E-5</v>
      </c>
      <c r="E372">
        <v>-6.0141183999999999E-3</v>
      </c>
      <c r="F372">
        <v>1.3545E-2</v>
      </c>
      <c r="G372" t="s">
        <v>205</v>
      </c>
      <c r="I372">
        <f t="shared" si="22"/>
        <v>7.0115630774000001E-2</v>
      </c>
      <c r="J372">
        <f t="shared" si="23"/>
        <v>-6.1024876260000003E-3</v>
      </c>
      <c r="K372">
        <f t="shared" si="24"/>
        <v>1.3456630774E-2</v>
      </c>
    </row>
    <row r="373" spans="1:11" x14ac:dyDescent="0.35">
      <c r="A373" t="s">
        <v>32</v>
      </c>
      <c r="B373">
        <v>71298</v>
      </c>
      <c r="C373">
        <v>0.107933</v>
      </c>
      <c r="D373" s="5">
        <v>9.2246314999999999E-5</v>
      </c>
      <c r="E373">
        <v>1.0593396999999999E-2</v>
      </c>
      <c r="F373">
        <v>7.6036999999999993E-2</v>
      </c>
      <c r="G373" t="s">
        <v>205</v>
      </c>
      <c r="I373">
        <f t="shared" si="22"/>
        <v>0.107840753685</v>
      </c>
      <c r="J373">
        <f t="shared" si="23"/>
        <v>1.0501150684999998E-2</v>
      </c>
      <c r="K373">
        <f t="shared" si="24"/>
        <v>7.5944753684999991E-2</v>
      </c>
    </row>
    <row r="374" spans="1:11" x14ac:dyDescent="0.35">
      <c r="A374" t="s">
        <v>33</v>
      </c>
      <c r="B374">
        <v>71298</v>
      </c>
      <c r="C374">
        <v>-0.13080900000000001</v>
      </c>
      <c r="D374" s="5">
        <v>8.5793734000000005E-5</v>
      </c>
      <c r="E374">
        <v>-1.3740894999999999E-2</v>
      </c>
      <c r="F374">
        <v>-6.424E-3</v>
      </c>
      <c r="G374" t="s">
        <v>205</v>
      </c>
      <c r="I374">
        <f t="shared" si="22"/>
        <v>-0.13089479373400001</v>
      </c>
      <c r="J374">
        <f t="shared" si="23"/>
        <v>-1.3826688734E-2</v>
      </c>
      <c r="K374">
        <f t="shared" si="24"/>
        <v>-6.5097937340000004E-3</v>
      </c>
    </row>
    <row r="375" spans="1:11" x14ac:dyDescent="0.35">
      <c r="A375" t="s">
        <v>34</v>
      </c>
      <c r="B375">
        <v>71298</v>
      </c>
      <c r="C375">
        <v>5.8217999999999999E-2</v>
      </c>
      <c r="D375" s="5">
        <v>1.0221382E-4</v>
      </c>
      <c r="E375">
        <v>3.4165464E-2</v>
      </c>
      <c r="F375">
        <v>5.8189999999999999E-2</v>
      </c>
      <c r="G375" t="s">
        <v>205</v>
      </c>
      <c r="I375">
        <f t="shared" si="22"/>
        <v>5.8115786179999997E-2</v>
      </c>
      <c r="J375">
        <f t="shared" si="23"/>
        <v>3.4063250179999997E-2</v>
      </c>
      <c r="K375">
        <f t="shared" si="24"/>
        <v>5.8087786179999996E-2</v>
      </c>
    </row>
    <row r="376" spans="1:11" x14ac:dyDescent="0.35">
      <c r="A376" t="s">
        <v>35</v>
      </c>
      <c r="B376">
        <v>71298</v>
      </c>
      <c r="C376">
        <v>4.7350999999999997E-2</v>
      </c>
      <c r="D376" s="5">
        <v>1.0811459E-4</v>
      </c>
      <c r="E376">
        <v>3.4972754999999999E-3</v>
      </c>
      <c r="F376">
        <v>5.0508999999999998E-2</v>
      </c>
      <c r="G376" t="s">
        <v>205</v>
      </c>
      <c r="I376">
        <f t="shared" si="22"/>
        <v>4.7242885409999998E-2</v>
      </c>
      <c r="J376">
        <f t="shared" si="23"/>
        <v>3.3891609099999998E-3</v>
      </c>
      <c r="K376">
        <f t="shared" si="24"/>
        <v>5.0400885409999999E-2</v>
      </c>
    </row>
    <row r="377" spans="1:11" x14ac:dyDescent="0.35">
      <c r="A377" t="s">
        <v>36</v>
      </c>
      <c r="B377">
        <v>71298</v>
      </c>
      <c r="C377">
        <v>0.12881200000000001</v>
      </c>
      <c r="D377" s="5">
        <v>1.0946717E-4</v>
      </c>
      <c r="E377">
        <v>4.0057152999999998E-2</v>
      </c>
      <c r="F377">
        <v>9.9263000000000004E-2</v>
      </c>
      <c r="G377" t="s">
        <v>205</v>
      </c>
      <c r="I377">
        <f t="shared" si="22"/>
        <v>0.12870253283000002</v>
      </c>
      <c r="J377">
        <f t="shared" si="23"/>
        <v>3.9947685829999996E-2</v>
      </c>
      <c r="K377">
        <f t="shared" si="24"/>
        <v>9.9153532830000002E-2</v>
      </c>
    </row>
    <row r="378" spans="1:11" x14ac:dyDescent="0.35">
      <c r="A378" t="s">
        <v>37</v>
      </c>
      <c r="B378">
        <v>71298</v>
      </c>
      <c r="C378">
        <v>-0.13000600000000001</v>
      </c>
      <c r="D378" s="5">
        <v>1.1473459E-4</v>
      </c>
      <c r="E378">
        <v>-1.6283552E-3</v>
      </c>
      <c r="F378">
        <v>-1.1110999999999999E-2</v>
      </c>
      <c r="G378" t="s">
        <v>205</v>
      </c>
      <c r="I378">
        <f t="shared" ref="I378:I441" si="25">C378-D378</f>
        <v>-0.13012073459000001</v>
      </c>
      <c r="J378">
        <f t="shared" ref="J378:J441" si="26">E378-D378</f>
        <v>-1.7430897900000001E-3</v>
      </c>
      <c r="K378">
        <f t="shared" ref="K378:K441" si="27">F378-D378</f>
        <v>-1.122573459E-2</v>
      </c>
    </row>
    <row r="379" spans="1:11" x14ac:dyDescent="0.35">
      <c r="A379" t="s">
        <v>38</v>
      </c>
      <c r="B379">
        <v>71298</v>
      </c>
      <c r="C379">
        <v>-4.7499999999999999E-3</v>
      </c>
      <c r="D379" s="5">
        <v>1.2225505E-4</v>
      </c>
      <c r="E379">
        <v>1.8970178000000001E-2</v>
      </c>
      <c r="F379">
        <v>3.6205000000000001E-2</v>
      </c>
      <c r="G379" t="s">
        <v>205</v>
      </c>
      <c r="I379">
        <f t="shared" si="25"/>
        <v>-4.8722550499999996E-3</v>
      </c>
      <c r="J379">
        <f t="shared" si="26"/>
        <v>1.8847922950000002E-2</v>
      </c>
      <c r="K379">
        <f t="shared" si="27"/>
        <v>3.6082744950000002E-2</v>
      </c>
    </row>
    <row r="380" spans="1:11" x14ac:dyDescent="0.35">
      <c r="A380" t="s">
        <v>39</v>
      </c>
      <c r="B380">
        <v>71298</v>
      </c>
      <c r="C380">
        <v>0.11894299999999999</v>
      </c>
      <c r="D380" s="5">
        <v>1.2702313E-4</v>
      </c>
      <c r="E380">
        <v>1.3077589000000001E-2</v>
      </c>
      <c r="F380">
        <v>0.12031</v>
      </c>
      <c r="G380" t="s">
        <v>205</v>
      </c>
      <c r="I380">
        <f t="shared" si="25"/>
        <v>0.11881597686999999</v>
      </c>
      <c r="J380">
        <f t="shared" si="26"/>
        <v>1.295056587E-2</v>
      </c>
      <c r="K380">
        <f t="shared" si="27"/>
        <v>0.12018297687</v>
      </c>
    </row>
    <row r="381" spans="1:11" x14ac:dyDescent="0.35">
      <c r="A381" t="s">
        <v>40</v>
      </c>
      <c r="B381">
        <v>71298</v>
      </c>
      <c r="C381">
        <v>7.8740000000000008E-3</v>
      </c>
      <c r="D381" s="5">
        <v>1.2549012999999999E-4</v>
      </c>
      <c r="E381">
        <v>-3.10251E-2</v>
      </c>
      <c r="F381">
        <v>-1.3212E-2</v>
      </c>
      <c r="G381" t="s">
        <v>205</v>
      </c>
      <c r="I381">
        <f t="shared" si="25"/>
        <v>7.7485098700000006E-3</v>
      </c>
      <c r="J381">
        <f t="shared" si="26"/>
        <v>-3.1150590129999999E-2</v>
      </c>
      <c r="K381">
        <f t="shared" si="27"/>
        <v>-1.3337490129999999E-2</v>
      </c>
    </row>
    <row r="382" spans="1:11" x14ac:dyDescent="0.35">
      <c r="A382" t="s">
        <v>41</v>
      </c>
      <c r="B382">
        <v>71298</v>
      </c>
      <c r="C382">
        <v>-3.2995999999999998E-2</v>
      </c>
      <c r="D382" s="5">
        <v>1.2976839000000001E-4</v>
      </c>
      <c r="E382">
        <v>-3.1822989999999999E-4</v>
      </c>
      <c r="F382">
        <v>-4.6706999999999999E-2</v>
      </c>
      <c r="G382" t="s">
        <v>205</v>
      </c>
      <c r="I382">
        <f t="shared" si="25"/>
        <v>-3.3125768389999997E-2</v>
      </c>
      <c r="J382">
        <f t="shared" si="26"/>
        <v>-4.4799829E-4</v>
      </c>
      <c r="K382">
        <f t="shared" si="27"/>
        <v>-4.6836768389999998E-2</v>
      </c>
    </row>
    <row r="383" spans="1:11" x14ac:dyDescent="0.35">
      <c r="A383" t="s">
        <v>42</v>
      </c>
      <c r="B383">
        <v>71298</v>
      </c>
      <c r="C383">
        <v>4.0541000000000001E-2</v>
      </c>
      <c r="D383" s="5">
        <v>1.2228312999999999E-4</v>
      </c>
      <c r="E383">
        <v>-9.6833464000000008E-3</v>
      </c>
      <c r="F383">
        <v>3.1521E-2</v>
      </c>
      <c r="G383" t="s">
        <v>205</v>
      </c>
      <c r="I383">
        <f t="shared" si="25"/>
        <v>4.0418716870000003E-2</v>
      </c>
      <c r="J383">
        <f t="shared" si="26"/>
        <v>-9.8056295300000002E-3</v>
      </c>
      <c r="K383">
        <f t="shared" si="27"/>
        <v>3.1398716870000003E-2</v>
      </c>
    </row>
    <row r="384" spans="1:11" x14ac:dyDescent="0.35">
      <c r="A384" t="s">
        <v>43</v>
      </c>
      <c r="B384">
        <v>71298</v>
      </c>
      <c r="C384">
        <v>8.7012999999999993E-2</v>
      </c>
      <c r="D384" s="5">
        <v>1.3703064E-4</v>
      </c>
      <c r="E384">
        <v>2.5151808000000001E-2</v>
      </c>
      <c r="F384">
        <v>-1.3775000000000001E-2</v>
      </c>
      <c r="G384" t="s">
        <v>205</v>
      </c>
      <c r="I384">
        <f t="shared" si="25"/>
        <v>8.6875969359999999E-2</v>
      </c>
      <c r="J384">
        <f t="shared" si="26"/>
        <v>2.501477736E-2</v>
      </c>
      <c r="K384">
        <f t="shared" si="27"/>
        <v>-1.3912030640000001E-2</v>
      </c>
    </row>
    <row r="385" spans="1:11" x14ac:dyDescent="0.35">
      <c r="A385" t="s">
        <v>44</v>
      </c>
      <c r="B385">
        <v>71298</v>
      </c>
      <c r="C385">
        <v>-8.2436999999999996E-2</v>
      </c>
      <c r="D385" s="5">
        <v>1.3985681000000001E-4</v>
      </c>
      <c r="E385">
        <v>1.9410975E-2</v>
      </c>
      <c r="F385">
        <v>-4.5272E-2</v>
      </c>
      <c r="G385" t="s">
        <v>205</v>
      </c>
      <c r="I385">
        <f t="shared" si="25"/>
        <v>-8.2576856810000002E-2</v>
      </c>
      <c r="J385">
        <f t="shared" si="26"/>
        <v>1.9271118190000002E-2</v>
      </c>
      <c r="K385">
        <f t="shared" si="27"/>
        <v>-4.5411856809999998E-2</v>
      </c>
    </row>
    <row r="386" spans="1:11" x14ac:dyDescent="0.35">
      <c r="A386" t="s">
        <v>45</v>
      </c>
      <c r="B386">
        <v>71298</v>
      </c>
      <c r="C386">
        <v>9.1149999999999998E-3</v>
      </c>
      <c r="D386" s="5">
        <v>1.2507204999999999E-4</v>
      </c>
      <c r="E386">
        <v>3.4900713999999999E-2</v>
      </c>
      <c r="F386">
        <v>1.2947999999999999E-2</v>
      </c>
      <c r="G386" t="s">
        <v>205</v>
      </c>
      <c r="I386">
        <f t="shared" si="25"/>
        <v>8.9899279500000005E-3</v>
      </c>
      <c r="J386">
        <f t="shared" si="26"/>
        <v>3.4775641949999998E-2</v>
      </c>
      <c r="K386">
        <f t="shared" si="27"/>
        <v>1.282292795E-2</v>
      </c>
    </row>
    <row r="387" spans="1:11" x14ac:dyDescent="0.35">
      <c r="A387" t="s">
        <v>46</v>
      </c>
      <c r="B387">
        <v>71298</v>
      </c>
      <c r="C387">
        <v>1.7742000000000001E-2</v>
      </c>
      <c r="D387" s="5">
        <v>1.4148996E-4</v>
      </c>
      <c r="E387">
        <v>2.5525862E-2</v>
      </c>
      <c r="F387">
        <v>6.8890999999999994E-2</v>
      </c>
      <c r="G387" t="s">
        <v>205</v>
      </c>
      <c r="I387">
        <f t="shared" si="25"/>
        <v>1.760051004E-2</v>
      </c>
      <c r="J387">
        <f t="shared" si="26"/>
        <v>2.5384372039999999E-2</v>
      </c>
      <c r="K387">
        <f t="shared" si="27"/>
        <v>6.8749510039999989E-2</v>
      </c>
    </row>
    <row r="388" spans="1:11" x14ac:dyDescent="0.35">
      <c r="A388" t="s">
        <v>47</v>
      </c>
      <c r="B388">
        <v>71298</v>
      </c>
      <c r="C388">
        <v>-2.3536999999999999E-2</v>
      </c>
      <c r="D388" s="5">
        <v>1.4320338999999999E-4</v>
      </c>
      <c r="E388">
        <v>1.0861081E-2</v>
      </c>
      <c r="F388">
        <v>-1.8325999999999999E-2</v>
      </c>
      <c r="G388" t="s">
        <v>205</v>
      </c>
      <c r="I388">
        <f t="shared" si="25"/>
        <v>-2.3680203389999998E-2</v>
      </c>
      <c r="J388">
        <f t="shared" si="26"/>
        <v>1.0717877609999999E-2</v>
      </c>
      <c r="K388">
        <f t="shared" si="27"/>
        <v>-1.8469203389999998E-2</v>
      </c>
    </row>
    <row r="389" spans="1:11" x14ac:dyDescent="0.35">
      <c r="A389" t="s">
        <v>48</v>
      </c>
      <c r="B389">
        <v>71298</v>
      </c>
      <c r="C389">
        <v>-3.5179000000000002E-2</v>
      </c>
      <c r="D389" s="5">
        <v>1.2932273999999999E-4</v>
      </c>
      <c r="E389">
        <v>1.9592070999999999E-2</v>
      </c>
      <c r="F389">
        <v>2.5628999999999999E-2</v>
      </c>
      <c r="G389" t="s">
        <v>205</v>
      </c>
      <c r="I389">
        <f t="shared" si="25"/>
        <v>-3.5308322740000002E-2</v>
      </c>
      <c r="J389">
        <f t="shared" si="26"/>
        <v>1.9462748259999999E-2</v>
      </c>
      <c r="K389">
        <f t="shared" si="27"/>
        <v>2.5499677259999999E-2</v>
      </c>
    </row>
    <row r="390" spans="1:11" x14ac:dyDescent="0.35">
      <c r="A390" t="s">
        <v>49</v>
      </c>
      <c r="B390">
        <v>71298</v>
      </c>
      <c r="C390">
        <v>8.4399999999999996E-3</v>
      </c>
      <c r="D390" s="5">
        <v>1.3506156E-4</v>
      </c>
      <c r="E390">
        <v>-1.4020795000000001E-2</v>
      </c>
      <c r="F390">
        <v>2.5451000000000001E-2</v>
      </c>
      <c r="G390" t="s">
        <v>205</v>
      </c>
      <c r="I390">
        <f t="shared" si="25"/>
        <v>8.3049384399999995E-3</v>
      </c>
      <c r="J390">
        <f t="shared" si="26"/>
        <v>-1.4155856560000001E-2</v>
      </c>
      <c r="K390">
        <f t="shared" si="27"/>
        <v>2.5315938440000001E-2</v>
      </c>
    </row>
    <row r="391" spans="1:11" x14ac:dyDescent="0.35">
      <c r="A391" t="s">
        <v>50</v>
      </c>
      <c r="B391">
        <v>71298</v>
      </c>
      <c r="C391">
        <v>-4.4192000000000002E-2</v>
      </c>
      <c r="D391" s="5">
        <v>1.4202721999999999E-4</v>
      </c>
      <c r="E391">
        <v>1.2952416E-2</v>
      </c>
      <c r="F391">
        <v>-1.1131E-2</v>
      </c>
      <c r="G391" t="s">
        <v>205</v>
      </c>
      <c r="I391">
        <f t="shared" si="25"/>
        <v>-4.4334027220000002E-2</v>
      </c>
      <c r="J391">
        <f t="shared" si="26"/>
        <v>1.2810388779999999E-2</v>
      </c>
      <c r="K391">
        <f t="shared" si="27"/>
        <v>-1.1273027220000001E-2</v>
      </c>
    </row>
    <row r="392" spans="1:11" x14ac:dyDescent="0.35">
      <c r="A392" t="s">
        <v>51</v>
      </c>
      <c r="B392">
        <v>71298</v>
      </c>
      <c r="C392">
        <v>-1.5412E-2</v>
      </c>
      <c r="D392" s="5">
        <v>1.3845289999999999E-4</v>
      </c>
      <c r="E392">
        <v>3.9758044999999999E-2</v>
      </c>
      <c r="F392">
        <v>2.0535000000000001E-2</v>
      </c>
      <c r="G392" t="s">
        <v>205</v>
      </c>
      <c r="I392">
        <f t="shared" si="25"/>
        <v>-1.5550452900000001E-2</v>
      </c>
      <c r="J392">
        <f t="shared" si="26"/>
        <v>3.9619592099999996E-2</v>
      </c>
      <c r="K392">
        <f t="shared" si="27"/>
        <v>2.0396547100000002E-2</v>
      </c>
    </row>
    <row r="393" spans="1:11" x14ac:dyDescent="0.35">
      <c r="A393" t="s">
        <v>52</v>
      </c>
      <c r="B393">
        <v>71298</v>
      </c>
      <c r="C393">
        <v>4.1621999999999999E-2</v>
      </c>
      <c r="D393" s="5">
        <v>1.3034255E-4</v>
      </c>
      <c r="E393">
        <v>3.8909490999999997E-2</v>
      </c>
      <c r="F393">
        <v>-2.3102999999999999E-2</v>
      </c>
      <c r="G393" t="s">
        <v>205</v>
      </c>
      <c r="I393">
        <f t="shared" si="25"/>
        <v>4.1491657449999997E-2</v>
      </c>
      <c r="J393">
        <f t="shared" si="26"/>
        <v>3.8779148449999995E-2</v>
      </c>
      <c r="K393">
        <f t="shared" si="27"/>
        <v>-2.3233342549999998E-2</v>
      </c>
    </row>
    <row r="394" spans="1:11" x14ac:dyDescent="0.35">
      <c r="A394" t="s">
        <v>53</v>
      </c>
      <c r="B394">
        <v>71298</v>
      </c>
      <c r="C394">
        <v>-2.0600000000000002E-3</v>
      </c>
      <c r="D394" s="5">
        <v>1.3037657E-4</v>
      </c>
      <c r="E394">
        <v>-1.4821285E-2</v>
      </c>
      <c r="F394">
        <v>-1.9377999999999999E-2</v>
      </c>
      <c r="G394" t="s">
        <v>205</v>
      </c>
      <c r="I394">
        <f t="shared" si="25"/>
        <v>-2.1903765700000003E-3</v>
      </c>
      <c r="J394">
        <f t="shared" si="26"/>
        <v>-1.495166157E-2</v>
      </c>
      <c r="K394">
        <f t="shared" si="27"/>
        <v>-1.9508376569999999E-2</v>
      </c>
    </row>
    <row r="395" spans="1:11" x14ac:dyDescent="0.35">
      <c r="A395" t="s">
        <v>54</v>
      </c>
      <c r="B395">
        <v>71298</v>
      </c>
      <c r="C395">
        <v>0.13175100000000001</v>
      </c>
      <c r="D395" s="5">
        <v>1.1670869E-4</v>
      </c>
      <c r="E395">
        <v>-3.1721417000000002E-2</v>
      </c>
      <c r="F395">
        <v>2.3650000000000001E-2</v>
      </c>
      <c r="G395" t="s">
        <v>205</v>
      </c>
      <c r="I395">
        <f t="shared" si="25"/>
        <v>0.13163429131000001</v>
      </c>
      <c r="J395">
        <f t="shared" si="26"/>
        <v>-3.1838125690000003E-2</v>
      </c>
      <c r="K395">
        <f t="shared" si="27"/>
        <v>2.3533291309999999E-2</v>
      </c>
    </row>
    <row r="396" spans="1:11" x14ac:dyDescent="0.35">
      <c r="A396" t="s">
        <v>55</v>
      </c>
      <c r="B396">
        <v>71298</v>
      </c>
      <c r="C396">
        <v>-1.155E-2</v>
      </c>
      <c r="D396" s="5">
        <v>1.3702123999999999E-4</v>
      </c>
      <c r="E396">
        <v>1.169362E-2</v>
      </c>
      <c r="F396">
        <v>1.1096E-2</v>
      </c>
      <c r="G396" t="s">
        <v>205</v>
      </c>
      <c r="I396">
        <f t="shared" si="25"/>
        <v>-1.168702124E-2</v>
      </c>
      <c r="J396">
        <f t="shared" si="26"/>
        <v>1.155659876E-2</v>
      </c>
      <c r="K396">
        <f t="shared" si="27"/>
        <v>1.095897876E-2</v>
      </c>
    </row>
    <row r="397" spans="1:11" x14ac:dyDescent="0.35">
      <c r="A397" t="s">
        <v>56</v>
      </c>
      <c r="B397">
        <v>71298</v>
      </c>
      <c r="C397">
        <v>0.238622</v>
      </c>
      <c r="D397" s="5">
        <v>1.1455195999999999E-4</v>
      </c>
      <c r="E397">
        <v>4.0834490000000001E-2</v>
      </c>
      <c r="F397">
        <v>0.10508099999999999</v>
      </c>
      <c r="G397" t="s">
        <v>205</v>
      </c>
      <c r="I397">
        <f t="shared" si="25"/>
        <v>0.23850744804000001</v>
      </c>
      <c r="J397">
        <f t="shared" si="26"/>
        <v>4.0719938040000001E-2</v>
      </c>
      <c r="K397">
        <f t="shared" si="27"/>
        <v>0.10496644803999999</v>
      </c>
    </row>
    <row r="398" spans="1:11" x14ac:dyDescent="0.35">
      <c r="A398" t="s">
        <v>57</v>
      </c>
      <c r="B398">
        <v>71298</v>
      </c>
      <c r="C398">
        <v>9.5580999999999999E-2</v>
      </c>
      <c r="D398" s="5">
        <v>9.2476468E-5</v>
      </c>
      <c r="E398">
        <v>2.8808464999999998E-2</v>
      </c>
      <c r="F398">
        <v>6.9514000000000006E-2</v>
      </c>
      <c r="G398" t="s">
        <v>205</v>
      </c>
      <c r="I398">
        <f t="shared" si="25"/>
        <v>9.5488523532000005E-2</v>
      </c>
      <c r="J398">
        <f t="shared" si="26"/>
        <v>2.8715988531999997E-2</v>
      </c>
      <c r="K398">
        <f t="shared" si="27"/>
        <v>6.9421523532000012E-2</v>
      </c>
    </row>
    <row r="399" spans="1:11" x14ac:dyDescent="0.35">
      <c r="A399" t="s">
        <v>58</v>
      </c>
      <c r="B399">
        <v>71298</v>
      </c>
      <c r="C399">
        <v>-7.8631000000000006E-2</v>
      </c>
      <c r="D399" s="5">
        <v>1.066585E-4</v>
      </c>
      <c r="E399">
        <v>-3.5230382999999997E-2</v>
      </c>
      <c r="F399">
        <v>-1.6535000000000001E-2</v>
      </c>
      <c r="G399" t="s">
        <v>205</v>
      </c>
      <c r="I399">
        <f t="shared" si="25"/>
        <v>-7.8737658500000002E-2</v>
      </c>
      <c r="J399">
        <f t="shared" si="26"/>
        <v>-3.5337041499999999E-2</v>
      </c>
      <c r="K399">
        <f t="shared" si="27"/>
        <v>-1.66416585E-2</v>
      </c>
    </row>
    <row r="400" spans="1:11" x14ac:dyDescent="0.35">
      <c r="A400" t="s">
        <v>59</v>
      </c>
      <c r="B400">
        <v>71298</v>
      </c>
      <c r="C400">
        <v>3.8015E-2</v>
      </c>
      <c r="D400" s="5">
        <v>1.0027451E-4</v>
      </c>
      <c r="E400">
        <v>-4.3625202999999996E-3</v>
      </c>
      <c r="F400">
        <v>6.6476999999999994E-2</v>
      </c>
      <c r="G400" t="s">
        <v>205</v>
      </c>
      <c r="I400">
        <f t="shared" si="25"/>
        <v>3.7914725490000002E-2</v>
      </c>
      <c r="J400">
        <f t="shared" si="26"/>
        <v>-4.4627948099999993E-3</v>
      </c>
      <c r="K400">
        <f t="shared" si="27"/>
        <v>6.6376725489999996E-2</v>
      </c>
    </row>
    <row r="401" spans="1:11" x14ac:dyDescent="0.35">
      <c r="A401" t="s">
        <v>60</v>
      </c>
      <c r="B401">
        <v>71298</v>
      </c>
      <c r="C401">
        <v>0.223306</v>
      </c>
      <c r="D401" s="5">
        <v>7.2702277999999997E-5</v>
      </c>
      <c r="E401">
        <v>-6.2072418999999997E-2</v>
      </c>
      <c r="F401">
        <v>0.108416</v>
      </c>
      <c r="G401" t="s">
        <v>205</v>
      </c>
      <c r="I401">
        <f t="shared" si="25"/>
        <v>0.22323329772200001</v>
      </c>
      <c r="J401">
        <f t="shared" si="26"/>
        <v>-6.2145121277999996E-2</v>
      </c>
      <c r="K401">
        <f t="shared" si="27"/>
        <v>0.10834329772199999</v>
      </c>
    </row>
    <row r="402" spans="1:11" x14ac:dyDescent="0.35">
      <c r="A402" t="s">
        <v>61</v>
      </c>
      <c r="B402">
        <v>71298</v>
      </c>
      <c r="C402">
        <v>9.9150000000000002E-3</v>
      </c>
      <c r="D402" s="5">
        <v>4.3220585000000003E-5</v>
      </c>
      <c r="E402">
        <v>-2.1622278000000002E-2</v>
      </c>
      <c r="F402">
        <v>5.2297999999999997E-2</v>
      </c>
      <c r="G402" t="s">
        <v>205</v>
      </c>
      <c r="I402">
        <f t="shared" si="25"/>
        <v>9.8717794150000003E-3</v>
      </c>
      <c r="J402">
        <f t="shared" si="26"/>
        <v>-2.1665498585000002E-2</v>
      </c>
      <c r="K402">
        <f t="shared" si="27"/>
        <v>5.2254779414999994E-2</v>
      </c>
    </row>
    <row r="403" spans="1:11" x14ac:dyDescent="0.35">
      <c r="A403" t="s">
        <v>62</v>
      </c>
      <c r="B403">
        <v>71298</v>
      </c>
      <c r="C403">
        <v>-0.16361899999999999</v>
      </c>
      <c r="D403" s="5">
        <v>5.6849163000000003E-5</v>
      </c>
      <c r="E403">
        <v>-1.0335677999999999E-2</v>
      </c>
      <c r="F403">
        <v>-5.9991999999999997E-2</v>
      </c>
      <c r="G403" t="s">
        <v>205</v>
      </c>
      <c r="I403">
        <f t="shared" si="25"/>
        <v>-0.16367584916299999</v>
      </c>
      <c r="J403">
        <f t="shared" si="26"/>
        <v>-1.0392527162999999E-2</v>
      </c>
      <c r="K403">
        <f t="shared" si="27"/>
        <v>-6.0048849162999997E-2</v>
      </c>
    </row>
    <row r="404" spans="1:11" x14ac:dyDescent="0.35">
      <c r="A404" t="s">
        <v>63</v>
      </c>
      <c r="B404">
        <v>71298</v>
      </c>
      <c r="C404">
        <v>-0.111162</v>
      </c>
      <c r="D404" s="5">
        <v>3.2929674E-5</v>
      </c>
      <c r="E404">
        <v>5.1065567999999999E-2</v>
      </c>
      <c r="F404">
        <v>-4.1588E-2</v>
      </c>
      <c r="G404" t="s">
        <v>205</v>
      </c>
      <c r="I404">
        <f t="shared" si="25"/>
        <v>-0.11119492967399999</v>
      </c>
      <c r="J404">
        <f t="shared" si="26"/>
        <v>5.1032638325999996E-2</v>
      </c>
      <c r="K404">
        <f t="shared" si="27"/>
        <v>-4.1620929674000003E-2</v>
      </c>
    </row>
    <row r="405" spans="1:11" x14ac:dyDescent="0.35">
      <c r="A405" t="s">
        <v>64</v>
      </c>
      <c r="B405">
        <v>71298</v>
      </c>
      <c r="C405">
        <v>4.8420999999999999E-2</v>
      </c>
      <c r="D405" s="5">
        <v>2.903705E-5</v>
      </c>
      <c r="E405">
        <v>2.3818125999999998E-2</v>
      </c>
      <c r="F405">
        <v>9.2320000000000006E-3</v>
      </c>
      <c r="G405" t="s">
        <v>205</v>
      </c>
      <c r="I405">
        <f t="shared" si="25"/>
        <v>4.8391962949999999E-2</v>
      </c>
      <c r="J405">
        <f t="shared" si="26"/>
        <v>2.3789088949999999E-2</v>
      </c>
      <c r="K405">
        <f t="shared" si="27"/>
        <v>9.2029629500000008E-3</v>
      </c>
    </row>
    <row r="406" spans="1:11" x14ac:dyDescent="0.35">
      <c r="A406" t="s">
        <v>65</v>
      </c>
      <c r="B406">
        <v>71298</v>
      </c>
      <c r="C406">
        <v>0.12931200000000001</v>
      </c>
      <c r="D406" s="5">
        <v>5.4623592999999997E-5</v>
      </c>
      <c r="E406">
        <v>-7.8533299000000001E-2</v>
      </c>
      <c r="F406">
        <v>4.5169000000000001E-2</v>
      </c>
      <c r="G406" t="s">
        <v>205</v>
      </c>
      <c r="I406">
        <f t="shared" si="25"/>
        <v>0.129257376407</v>
      </c>
      <c r="J406">
        <f t="shared" si="26"/>
        <v>-7.8587922593000001E-2</v>
      </c>
      <c r="K406">
        <f t="shared" si="27"/>
        <v>4.5114376407000001E-2</v>
      </c>
    </row>
    <row r="407" spans="1:11" x14ac:dyDescent="0.35">
      <c r="A407" t="s">
        <v>66</v>
      </c>
      <c r="B407">
        <v>71298</v>
      </c>
      <c r="C407">
        <v>-6.9231000000000001E-2</v>
      </c>
      <c r="D407" s="5">
        <v>4.1826541000000002E-5</v>
      </c>
      <c r="E407">
        <v>-1.3053237000000001E-2</v>
      </c>
      <c r="F407">
        <v>-1.4442E-2</v>
      </c>
      <c r="G407" t="s">
        <v>205</v>
      </c>
      <c r="I407">
        <f t="shared" si="25"/>
        <v>-6.9272826541000004E-2</v>
      </c>
      <c r="J407">
        <f t="shared" si="26"/>
        <v>-1.3095063541000001E-2</v>
      </c>
      <c r="K407">
        <f t="shared" si="27"/>
        <v>-1.4483826541E-2</v>
      </c>
    </row>
    <row r="408" spans="1:11" x14ac:dyDescent="0.35">
      <c r="A408" t="s">
        <v>67</v>
      </c>
      <c r="B408">
        <v>71298</v>
      </c>
      <c r="C408">
        <v>-0.17992900000000001</v>
      </c>
      <c r="D408" s="5">
        <v>4.1830043999999998E-5</v>
      </c>
      <c r="E408">
        <v>1.0535574000000001E-2</v>
      </c>
      <c r="F408">
        <v>-9.2917E-2</v>
      </c>
      <c r="G408" t="s">
        <v>205</v>
      </c>
      <c r="I408">
        <f t="shared" si="25"/>
        <v>-0.179970830044</v>
      </c>
      <c r="J408">
        <f t="shared" si="26"/>
        <v>1.0493743956000001E-2</v>
      </c>
      <c r="K408">
        <f t="shared" si="27"/>
        <v>-9.2958830044000004E-2</v>
      </c>
    </row>
    <row r="409" spans="1:11" x14ac:dyDescent="0.35">
      <c r="A409" t="s">
        <v>68</v>
      </c>
      <c r="B409">
        <v>71298</v>
      </c>
      <c r="C409">
        <v>5.7875000000000003E-2</v>
      </c>
      <c r="D409" s="5">
        <v>4.4332078999999998E-5</v>
      </c>
      <c r="E409">
        <v>-9.8912783000000004E-2</v>
      </c>
      <c r="F409">
        <v>4.1120999999999998E-2</v>
      </c>
      <c r="G409" t="s">
        <v>205</v>
      </c>
      <c r="I409">
        <f t="shared" si="25"/>
        <v>5.7830667921000001E-2</v>
      </c>
      <c r="J409">
        <f t="shared" si="26"/>
        <v>-9.8957115078999999E-2</v>
      </c>
      <c r="K409">
        <f t="shared" si="27"/>
        <v>4.1076667920999996E-2</v>
      </c>
    </row>
    <row r="410" spans="1:11" x14ac:dyDescent="0.35">
      <c r="A410" t="s">
        <v>69</v>
      </c>
      <c r="B410">
        <v>71298</v>
      </c>
      <c r="C410">
        <v>-0.38105600000000001</v>
      </c>
      <c r="D410" s="5">
        <v>1.54194E-5</v>
      </c>
      <c r="E410">
        <v>-0.26823696000000002</v>
      </c>
      <c r="F410">
        <v>-0.16139700000000001</v>
      </c>
      <c r="G410" t="s">
        <v>205</v>
      </c>
      <c r="I410">
        <f t="shared" si="25"/>
        <v>-0.3810714194</v>
      </c>
      <c r="J410">
        <f t="shared" si="26"/>
        <v>-0.26825237940000002</v>
      </c>
      <c r="K410">
        <f t="shared" si="27"/>
        <v>-0.16141241940000001</v>
      </c>
    </row>
    <row r="411" spans="1:11" x14ac:dyDescent="0.35">
      <c r="A411" t="s">
        <v>70</v>
      </c>
      <c r="B411">
        <v>71298</v>
      </c>
      <c r="C411">
        <v>0.30431000000000002</v>
      </c>
      <c r="D411" s="5">
        <v>3.4029399E-6</v>
      </c>
      <c r="E411">
        <v>-6.0760938E-2</v>
      </c>
      <c r="F411">
        <v>0.12573599999999999</v>
      </c>
      <c r="G411" t="s">
        <v>205</v>
      </c>
      <c r="I411">
        <f t="shared" si="25"/>
        <v>0.30430659706010005</v>
      </c>
      <c r="J411">
        <f t="shared" si="26"/>
        <v>-6.0764340939899998E-2</v>
      </c>
      <c r="K411">
        <f t="shared" si="27"/>
        <v>0.12573259706009998</v>
      </c>
    </row>
    <row r="412" spans="1:11" x14ac:dyDescent="0.35">
      <c r="A412" t="s">
        <v>71</v>
      </c>
      <c r="B412">
        <v>71298</v>
      </c>
      <c r="C412">
        <v>0.24813299999999999</v>
      </c>
      <c r="D412" s="5">
        <v>9.7223551000000005E-7</v>
      </c>
      <c r="E412">
        <v>2.2324005000000001E-2</v>
      </c>
      <c r="F412">
        <v>7.7325000000000005E-2</v>
      </c>
      <c r="G412" t="s">
        <v>205</v>
      </c>
      <c r="I412">
        <f t="shared" si="25"/>
        <v>0.24813202776449</v>
      </c>
      <c r="J412">
        <f t="shared" si="26"/>
        <v>2.2323032764490002E-2</v>
      </c>
      <c r="K412">
        <f t="shared" si="27"/>
        <v>7.7324027764490003E-2</v>
      </c>
    </row>
    <row r="413" spans="1:11" x14ac:dyDescent="0.35">
      <c r="A413" t="s">
        <v>72</v>
      </c>
      <c r="B413">
        <v>71298</v>
      </c>
      <c r="C413">
        <v>1.9581000000000001E-2</v>
      </c>
      <c r="D413" s="5">
        <v>4.1666856999999999E-7</v>
      </c>
      <c r="E413">
        <v>-7.8490331999999996E-2</v>
      </c>
      <c r="F413">
        <v>5.5363000000000002E-2</v>
      </c>
      <c r="G413" t="s">
        <v>205</v>
      </c>
      <c r="I413">
        <f t="shared" si="25"/>
        <v>1.958058333143E-2</v>
      </c>
      <c r="J413">
        <f t="shared" si="26"/>
        <v>-7.849074866856999E-2</v>
      </c>
      <c r="K413">
        <f t="shared" si="27"/>
        <v>5.5362583331430001E-2</v>
      </c>
    </row>
    <row r="414" spans="1:11" x14ac:dyDescent="0.35">
      <c r="A414" t="s">
        <v>73</v>
      </c>
      <c r="B414">
        <v>71298</v>
      </c>
      <c r="C414">
        <v>-0.19445200000000001</v>
      </c>
      <c r="D414" s="5">
        <v>4.1669009000000002E-6</v>
      </c>
      <c r="E414">
        <v>-0.10050758</v>
      </c>
      <c r="F414">
        <v>1.4456E-2</v>
      </c>
      <c r="G414" t="s">
        <v>205</v>
      </c>
      <c r="I414">
        <f t="shared" si="25"/>
        <v>-0.19445616690090001</v>
      </c>
      <c r="J414">
        <f t="shared" si="26"/>
        <v>-0.10051174690089999</v>
      </c>
      <c r="K414">
        <f t="shared" si="27"/>
        <v>1.44518330991E-2</v>
      </c>
    </row>
    <row r="415" spans="1:11" x14ac:dyDescent="0.35">
      <c r="A415" t="s">
        <v>74</v>
      </c>
      <c r="B415">
        <v>71298</v>
      </c>
      <c r="C415">
        <v>7.3510000000000006E-2</v>
      </c>
      <c r="D415" s="5">
        <v>4.4447111E-6</v>
      </c>
      <c r="E415">
        <v>8.7015814999999996E-2</v>
      </c>
      <c r="F415">
        <v>-2.537E-2</v>
      </c>
      <c r="G415" t="s">
        <v>205</v>
      </c>
      <c r="I415">
        <f t="shared" si="25"/>
        <v>7.3505555288900001E-2</v>
      </c>
      <c r="J415">
        <f t="shared" si="26"/>
        <v>8.7011370288899992E-2</v>
      </c>
      <c r="K415">
        <f t="shared" si="27"/>
        <v>-2.5374444711100001E-2</v>
      </c>
    </row>
    <row r="416" spans="1:11" x14ac:dyDescent="0.35">
      <c r="A416" t="s">
        <v>75</v>
      </c>
      <c r="B416">
        <v>71298</v>
      </c>
      <c r="C416">
        <v>-0.102406</v>
      </c>
      <c r="D416" s="5">
        <v>3.7501618E-6</v>
      </c>
      <c r="E416">
        <v>0.10942493</v>
      </c>
      <c r="F416">
        <v>-3.3341000000000003E-2</v>
      </c>
      <c r="G416" t="s">
        <v>205</v>
      </c>
      <c r="I416">
        <f t="shared" si="25"/>
        <v>-0.1024097501618</v>
      </c>
      <c r="J416">
        <f t="shared" si="26"/>
        <v>0.1094211798382</v>
      </c>
      <c r="K416">
        <f t="shared" si="27"/>
        <v>-3.3344750161800003E-2</v>
      </c>
    </row>
    <row r="417" spans="1:11" x14ac:dyDescent="0.35">
      <c r="A417" t="s">
        <v>76</v>
      </c>
      <c r="B417">
        <v>71298</v>
      </c>
      <c r="C417">
        <v>0.31546400000000002</v>
      </c>
      <c r="D417" s="5">
        <v>1.2500218999999999E-6</v>
      </c>
      <c r="E417">
        <v>6.7855342999999999E-2</v>
      </c>
      <c r="F417">
        <v>0.102326</v>
      </c>
      <c r="G417" t="s">
        <v>205</v>
      </c>
      <c r="I417">
        <f t="shared" si="25"/>
        <v>0.31546274997810003</v>
      </c>
      <c r="J417">
        <f t="shared" si="26"/>
        <v>6.7854092978099995E-2</v>
      </c>
      <c r="K417">
        <f t="shared" si="27"/>
        <v>0.1023247499781</v>
      </c>
    </row>
    <row r="418" spans="1:11" x14ac:dyDescent="0.35">
      <c r="A418" t="s">
        <v>77</v>
      </c>
      <c r="B418">
        <v>71298</v>
      </c>
      <c r="C418">
        <v>-0.11896</v>
      </c>
      <c r="D418" s="5">
        <v>4.1669009000000002E-6</v>
      </c>
      <c r="E418">
        <v>-3.0959923999999998E-3</v>
      </c>
      <c r="F418">
        <v>-5.2183E-2</v>
      </c>
      <c r="G418" t="s">
        <v>205</v>
      </c>
      <c r="I418">
        <f t="shared" si="25"/>
        <v>-0.11896416690089999</v>
      </c>
      <c r="J418">
        <f t="shared" si="26"/>
        <v>-3.1001593008999997E-3</v>
      </c>
      <c r="K418">
        <f t="shared" si="27"/>
        <v>-5.2187166900900001E-2</v>
      </c>
    </row>
    <row r="419" spans="1:11" x14ac:dyDescent="0.35">
      <c r="A419" t="s">
        <v>78</v>
      </c>
      <c r="B419">
        <v>71298</v>
      </c>
      <c r="C419">
        <v>4.0238999999999997E-2</v>
      </c>
      <c r="D419" s="5">
        <v>3.472361E-6</v>
      </c>
      <c r="E419">
        <v>8.1810951000000007E-2</v>
      </c>
      <c r="F419">
        <v>2.3799000000000001E-2</v>
      </c>
      <c r="G419" t="s">
        <v>205</v>
      </c>
      <c r="I419">
        <f t="shared" si="25"/>
        <v>4.0235527638999999E-2</v>
      </c>
      <c r="J419">
        <f t="shared" si="26"/>
        <v>8.1807478639000009E-2</v>
      </c>
      <c r="K419">
        <f t="shared" si="27"/>
        <v>2.3795527638999999E-2</v>
      </c>
    </row>
    <row r="420" spans="1:11" x14ac:dyDescent="0.35">
      <c r="A420" t="s">
        <v>79</v>
      </c>
      <c r="B420">
        <v>71298</v>
      </c>
      <c r="C420">
        <v>-5.731E-3</v>
      </c>
      <c r="D420" s="5">
        <v>3.7501898E-6</v>
      </c>
      <c r="E420">
        <v>3.1335082E-2</v>
      </c>
      <c r="F420">
        <v>5.3600000000000002E-4</v>
      </c>
      <c r="G420" t="s">
        <v>205</v>
      </c>
      <c r="I420">
        <f t="shared" si="25"/>
        <v>-5.7347501897999998E-3</v>
      </c>
      <c r="J420">
        <f t="shared" si="26"/>
        <v>3.1331331810200001E-2</v>
      </c>
      <c r="K420">
        <f t="shared" si="27"/>
        <v>5.3224981020000002E-4</v>
      </c>
    </row>
    <row r="421" spans="1:11" x14ac:dyDescent="0.35">
      <c r="A421" t="s">
        <v>80</v>
      </c>
      <c r="B421">
        <v>71298</v>
      </c>
      <c r="C421">
        <v>9.2218999999999995E-2</v>
      </c>
      <c r="D421" s="5">
        <v>3.4723669000000002E-6</v>
      </c>
      <c r="E421">
        <v>4.5273893000000003E-2</v>
      </c>
      <c r="F421">
        <v>5.8351E-2</v>
      </c>
      <c r="G421" t="s">
        <v>205</v>
      </c>
      <c r="I421">
        <f t="shared" si="25"/>
        <v>9.2215527633099995E-2</v>
      </c>
      <c r="J421">
        <f t="shared" si="26"/>
        <v>4.5270420633100002E-2</v>
      </c>
      <c r="K421">
        <f t="shared" si="27"/>
        <v>5.8347527633099999E-2</v>
      </c>
    </row>
    <row r="422" spans="1:11" x14ac:dyDescent="0.35">
      <c r="A422" t="s">
        <v>81</v>
      </c>
      <c r="B422">
        <v>71298</v>
      </c>
      <c r="C422">
        <v>-5.1978999999999997E-2</v>
      </c>
      <c r="D422" s="5">
        <v>1.2500171000000001E-6</v>
      </c>
      <c r="E422">
        <v>-3.1813566000000001E-2</v>
      </c>
      <c r="F422">
        <v>3.7227999999999997E-2</v>
      </c>
      <c r="G422" t="s">
        <v>205</v>
      </c>
      <c r="I422">
        <f t="shared" si="25"/>
        <v>-5.1980250017100001E-2</v>
      </c>
      <c r="J422">
        <f t="shared" si="26"/>
        <v>-3.1814816017100005E-2</v>
      </c>
      <c r="K422">
        <f t="shared" si="27"/>
        <v>3.7226749982899994E-2</v>
      </c>
    </row>
    <row r="423" spans="1:11" x14ac:dyDescent="0.35">
      <c r="A423" t="s">
        <v>82</v>
      </c>
      <c r="B423">
        <v>71298</v>
      </c>
      <c r="C423">
        <v>0.19370999999999999</v>
      </c>
      <c r="D423" s="5">
        <v>8.3334305000000002E-7</v>
      </c>
      <c r="E423">
        <v>5.1395169999999997E-2</v>
      </c>
      <c r="F423">
        <v>0.12786500000000001</v>
      </c>
      <c r="G423" t="s">
        <v>205</v>
      </c>
      <c r="I423">
        <f t="shared" si="25"/>
        <v>0.19370916665694998</v>
      </c>
      <c r="J423">
        <f t="shared" si="26"/>
        <v>5.139433665695E-2</v>
      </c>
      <c r="K423">
        <f t="shared" si="27"/>
        <v>0.12786416665695</v>
      </c>
    </row>
    <row r="424" spans="1:11" x14ac:dyDescent="0.35">
      <c r="A424" t="s">
        <v>83</v>
      </c>
      <c r="B424">
        <v>71298</v>
      </c>
      <c r="C424">
        <v>-7.7535999999999994E-2</v>
      </c>
      <c r="D424" s="5">
        <v>2.5000749999999999E-6</v>
      </c>
      <c r="E424">
        <v>2.8345333E-2</v>
      </c>
      <c r="F424">
        <v>-7.2034000000000001E-2</v>
      </c>
      <c r="G424" t="s">
        <v>205</v>
      </c>
      <c r="I424">
        <f t="shared" si="25"/>
        <v>-7.7538500074999989E-2</v>
      </c>
      <c r="J424">
        <f t="shared" si="26"/>
        <v>2.8342832925000002E-2</v>
      </c>
      <c r="K424">
        <f t="shared" si="27"/>
        <v>-7.2036500074999996E-2</v>
      </c>
    </row>
    <row r="425" spans="1:11" x14ac:dyDescent="0.35">
      <c r="A425" t="s">
        <v>84</v>
      </c>
      <c r="B425">
        <v>71298</v>
      </c>
      <c r="C425">
        <v>-0.115795</v>
      </c>
      <c r="D425" s="5">
        <v>1.5278105E-6</v>
      </c>
      <c r="E425">
        <v>-3.7133395999999999E-2</v>
      </c>
      <c r="F425">
        <v>-1.2579999999999999E-2</v>
      </c>
      <c r="G425" t="s">
        <v>205</v>
      </c>
      <c r="I425">
        <f t="shared" si="25"/>
        <v>-0.1157965278105</v>
      </c>
      <c r="J425">
        <f t="shared" si="26"/>
        <v>-3.7134923810500001E-2</v>
      </c>
      <c r="K425">
        <f t="shared" si="27"/>
        <v>-1.2581527810499999E-2</v>
      </c>
    </row>
    <row r="426" spans="1:11" x14ac:dyDescent="0.35">
      <c r="A426" t="s">
        <v>85</v>
      </c>
      <c r="B426">
        <v>71298</v>
      </c>
      <c r="C426">
        <v>8.1561999999999996E-2</v>
      </c>
      <c r="D426" s="5">
        <v>4.1666901999999998E-7</v>
      </c>
      <c r="E426">
        <v>3.4774009000000002E-2</v>
      </c>
      <c r="F426">
        <v>3.2747999999999999E-2</v>
      </c>
      <c r="G426" t="s">
        <v>205</v>
      </c>
      <c r="I426">
        <f t="shared" si="25"/>
        <v>8.156158333098E-2</v>
      </c>
      <c r="J426">
        <f t="shared" si="26"/>
        <v>3.4773592330979999E-2</v>
      </c>
      <c r="K426">
        <f t="shared" si="27"/>
        <v>3.2747583330979997E-2</v>
      </c>
    </row>
    <row r="427" spans="1:11" x14ac:dyDescent="0.35">
      <c r="A427" t="s">
        <v>86</v>
      </c>
      <c r="B427">
        <v>71298</v>
      </c>
      <c r="C427">
        <v>1.8055999999999999E-2</v>
      </c>
      <c r="D427" s="5">
        <v>2.6389829999999998E-6</v>
      </c>
      <c r="E427">
        <v>6.3639558999999998E-2</v>
      </c>
      <c r="F427">
        <v>-4.3860000000000001E-3</v>
      </c>
      <c r="G427" t="s">
        <v>205</v>
      </c>
      <c r="I427">
        <f t="shared" si="25"/>
        <v>1.8053361016999999E-2</v>
      </c>
      <c r="J427">
        <f t="shared" si="26"/>
        <v>6.3636920016999998E-2</v>
      </c>
      <c r="K427">
        <f t="shared" si="27"/>
        <v>-4.3886389830000002E-3</v>
      </c>
    </row>
    <row r="428" spans="1:11" x14ac:dyDescent="0.35">
      <c r="A428" t="s">
        <v>87</v>
      </c>
      <c r="B428">
        <v>71298</v>
      </c>
      <c r="C428">
        <v>0.13588900000000001</v>
      </c>
      <c r="D428" s="5">
        <v>4.0279559999999999E-6</v>
      </c>
      <c r="E428">
        <v>2.0069690000000001E-2</v>
      </c>
      <c r="F428">
        <v>5.8833999999999997E-2</v>
      </c>
      <c r="G428" t="s">
        <v>205</v>
      </c>
      <c r="I428">
        <f t="shared" si="25"/>
        <v>0.13588497204400002</v>
      </c>
      <c r="J428">
        <f t="shared" si="26"/>
        <v>2.0065662044E-2</v>
      </c>
      <c r="K428">
        <f t="shared" si="27"/>
        <v>5.8829972043999999E-2</v>
      </c>
    </row>
    <row r="429" spans="1:11" x14ac:dyDescent="0.35">
      <c r="A429" t="s">
        <v>88</v>
      </c>
      <c r="B429">
        <v>71298</v>
      </c>
      <c r="C429">
        <v>-2.9162E-2</v>
      </c>
      <c r="D429" s="5">
        <v>4.1669009000000002E-6</v>
      </c>
      <c r="E429">
        <v>-7.9213500000000006E-2</v>
      </c>
      <c r="F429">
        <v>3.0522000000000001E-2</v>
      </c>
      <c r="G429" t="s">
        <v>205</v>
      </c>
      <c r="I429">
        <f t="shared" si="25"/>
        <v>-2.9166166900900001E-2</v>
      </c>
      <c r="J429">
        <f t="shared" si="26"/>
        <v>-7.92176669009E-2</v>
      </c>
      <c r="K429">
        <f t="shared" si="27"/>
        <v>3.05178330991E-2</v>
      </c>
    </row>
    <row r="430" spans="1:11" x14ac:dyDescent="0.35">
      <c r="A430" t="s">
        <v>89</v>
      </c>
      <c r="B430">
        <v>71298</v>
      </c>
      <c r="C430">
        <v>7.9134999999999997E-2</v>
      </c>
      <c r="D430" s="5">
        <v>4.4447111E-6</v>
      </c>
      <c r="E430">
        <v>-5.0825889999999999E-2</v>
      </c>
      <c r="F430">
        <v>2.3545E-2</v>
      </c>
      <c r="G430" t="s">
        <v>205</v>
      </c>
      <c r="I430">
        <f t="shared" si="25"/>
        <v>7.9130555288899992E-2</v>
      </c>
      <c r="J430">
        <f t="shared" si="26"/>
        <v>-5.0830334711099996E-2</v>
      </c>
      <c r="K430">
        <f t="shared" si="27"/>
        <v>2.3540555288899999E-2</v>
      </c>
    </row>
    <row r="431" spans="1:11" x14ac:dyDescent="0.35">
      <c r="A431" t="s">
        <v>90</v>
      </c>
      <c r="B431">
        <v>71298</v>
      </c>
      <c r="C431">
        <v>-9.4912999999999997E-2</v>
      </c>
      <c r="D431" s="5">
        <v>3.7501547000000001E-6</v>
      </c>
      <c r="E431">
        <v>7.0217035999999997E-2</v>
      </c>
      <c r="F431">
        <v>-5.0871E-2</v>
      </c>
      <c r="G431" t="s">
        <v>205</v>
      </c>
      <c r="I431">
        <f t="shared" si="25"/>
        <v>-9.4916750154699997E-2</v>
      </c>
      <c r="J431">
        <f t="shared" si="26"/>
        <v>7.0213285845299997E-2</v>
      </c>
      <c r="K431">
        <f t="shared" si="27"/>
        <v>-5.0874750154699999E-2</v>
      </c>
    </row>
    <row r="432" spans="1:11" x14ac:dyDescent="0.35">
      <c r="A432" t="s">
        <v>91</v>
      </c>
      <c r="B432">
        <v>71298</v>
      </c>
      <c r="C432">
        <v>0.14063300000000001</v>
      </c>
      <c r="D432" s="5">
        <v>4.1669009000000002E-6</v>
      </c>
      <c r="E432">
        <v>-4.2918108000000003E-2</v>
      </c>
      <c r="F432">
        <v>5.7061000000000001E-2</v>
      </c>
      <c r="G432" t="s">
        <v>205</v>
      </c>
      <c r="I432">
        <f t="shared" si="25"/>
        <v>0.14062883309910001</v>
      </c>
      <c r="J432">
        <f t="shared" si="26"/>
        <v>-4.2922274900900004E-2</v>
      </c>
      <c r="K432">
        <f t="shared" si="27"/>
        <v>5.70568330991E-2</v>
      </c>
    </row>
    <row r="433" spans="1:11" x14ac:dyDescent="0.35">
      <c r="A433" t="s">
        <v>92</v>
      </c>
      <c r="B433">
        <v>71298</v>
      </c>
      <c r="C433">
        <v>-1.0050999999999999E-2</v>
      </c>
      <c r="D433" s="5">
        <v>4.7224784999999996E-6</v>
      </c>
      <c r="E433">
        <v>9.1566808999999999E-2</v>
      </c>
      <c r="F433">
        <v>4.7756E-2</v>
      </c>
      <c r="G433" t="s">
        <v>205</v>
      </c>
      <c r="I433">
        <f t="shared" si="25"/>
        <v>-1.00557224785E-2</v>
      </c>
      <c r="J433">
        <f t="shared" si="26"/>
        <v>9.1562086521499997E-2</v>
      </c>
      <c r="K433">
        <f t="shared" si="27"/>
        <v>4.7751277521499998E-2</v>
      </c>
    </row>
    <row r="434" spans="1:11" x14ac:dyDescent="0.35">
      <c r="A434" t="s">
        <v>93</v>
      </c>
      <c r="B434">
        <v>71298</v>
      </c>
      <c r="C434">
        <v>3.8885000000000003E-2</v>
      </c>
      <c r="D434" s="5">
        <v>4.3058153000000004E-6</v>
      </c>
      <c r="E434">
        <v>3.7957888000000002E-2</v>
      </c>
      <c r="F434">
        <v>3.6823000000000002E-2</v>
      </c>
      <c r="G434" t="s">
        <v>205</v>
      </c>
      <c r="I434">
        <f t="shared" si="25"/>
        <v>3.8880694184700006E-2</v>
      </c>
      <c r="J434">
        <f t="shared" si="26"/>
        <v>3.7953582184700005E-2</v>
      </c>
      <c r="K434">
        <f t="shared" si="27"/>
        <v>3.6818694184700004E-2</v>
      </c>
    </row>
    <row r="435" spans="1:11" x14ac:dyDescent="0.35">
      <c r="A435" t="s">
        <v>94</v>
      </c>
      <c r="B435">
        <v>71298</v>
      </c>
      <c r="C435">
        <v>7.6522999999999994E-2</v>
      </c>
      <c r="D435" s="5">
        <v>4.0280046999999999E-6</v>
      </c>
      <c r="E435">
        <v>8.7761291999999998E-3</v>
      </c>
      <c r="F435">
        <v>2.1113E-2</v>
      </c>
      <c r="G435" t="s">
        <v>205</v>
      </c>
      <c r="I435">
        <f t="shared" si="25"/>
        <v>7.65189719953E-2</v>
      </c>
      <c r="J435">
        <f t="shared" si="26"/>
        <v>8.7721011952999993E-3</v>
      </c>
      <c r="K435">
        <f t="shared" si="27"/>
        <v>2.1108971995299999E-2</v>
      </c>
    </row>
    <row r="436" spans="1:11" x14ac:dyDescent="0.35">
      <c r="A436" t="s">
        <v>95</v>
      </c>
      <c r="B436">
        <v>71298</v>
      </c>
      <c r="C436">
        <v>2.9621999999999999E-2</v>
      </c>
      <c r="D436" s="5">
        <v>4.7224784999999996E-6</v>
      </c>
      <c r="E436">
        <v>6.7283355000000003E-2</v>
      </c>
      <c r="F436">
        <v>2.4368999999999998E-2</v>
      </c>
      <c r="G436" t="s">
        <v>205</v>
      </c>
      <c r="I436">
        <f t="shared" si="25"/>
        <v>2.96172775215E-2</v>
      </c>
      <c r="J436">
        <f t="shared" si="26"/>
        <v>6.7278632521500001E-2</v>
      </c>
      <c r="K436">
        <f t="shared" si="27"/>
        <v>2.43642775215E-2</v>
      </c>
    </row>
    <row r="437" spans="1:11" x14ac:dyDescent="0.35">
      <c r="A437" t="s">
        <v>96</v>
      </c>
      <c r="B437">
        <v>71298</v>
      </c>
      <c r="C437">
        <v>-0.10661900000000001</v>
      </c>
      <c r="D437" s="5">
        <v>1.5278093000000001E-6</v>
      </c>
      <c r="E437">
        <v>1.9074834999999998E-2</v>
      </c>
      <c r="F437">
        <v>-6.3797999999999994E-2</v>
      </c>
      <c r="G437" t="s">
        <v>205</v>
      </c>
      <c r="I437">
        <f t="shared" si="25"/>
        <v>-0.10662052780930001</v>
      </c>
      <c r="J437">
        <f t="shared" si="26"/>
        <v>1.9073307190699999E-2</v>
      </c>
      <c r="K437">
        <f t="shared" si="27"/>
        <v>-6.3799527809299997E-2</v>
      </c>
    </row>
    <row r="438" spans="1:11" x14ac:dyDescent="0.35">
      <c r="A438" t="s">
        <v>97</v>
      </c>
      <c r="B438">
        <v>71298</v>
      </c>
      <c r="C438">
        <v>0.114292</v>
      </c>
      <c r="D438" s="5">
        <v>4.1668749999999998E-6</v>
      </c>
      <c r="E438">
        <v>3.8132824000000003E-2</v>
      </c>
      <c r="F438">
        <v>5.9991000000000003E-2</v>
      </c>
      <c r="G438" t="s">
        <v>205</v>
      </c>
      <c r="I438">
        <f t="shared" si="25"/>
        <v>0.114287833125</v>
      </c>
      <c r="J438">
        <f t="shared" si="26"/>
        <v>3.8128657125E-2</v>
      </c>
      <c r="K438">
        <f t="shared" si="27"/>
        <v>5.9986833125E-2</v>
      </c>
    </row>
    <row r="439" spans="1:11" x14ac:dyDescent="0.35">
      <c r="A439" t="s">
        <v>98</v>
      </c>
      <c r="B439">
        <v>71298</v>
      </c>
      <c r="C439">
        <v>-1.7228E-2</v>
      </c>
      <c r="D439" s="5">
        <v>3.7501688E-6</v>
      </c>
      <c r="E439">
        <v>3.4299082999999998E-3</v>
      </c>
      <c r="F439">
        <v>1.5973999999999999E-2</v>
      </c>
      <c r="G439" t="s">
        <v>205</v>
      </c>
      <c r="I439">
        <f t="shared" si="25"/>
        <v>-1.7231750168799999E-2</v>
      </c>
      <c r="J439">
        <f t="shared" si="26"/>
        <v>3.4261581312E-3</v>
      </c>
      <c r="K439">
        <f t="shared" si="27"/>
        <v>1.59702498312E-2</v>
      </c>
    </row>
    <row r="440" spans="1:11" x14ac:dyDescent="0.35">
      <c r="A440" t="s">
        <v>99</v>
      </c>
      <c r="B440">
        <v>71298</v>
      </c>
      <c r="C440">
        <v>-1.7337999999999999E-2</v>
      </c>
      <c r="D440" s="5">
        <v>1.8056012E-6</v>
      </c>
      <c r="E440">
        <v>2.8691142999999999E-2</v>
      </c>
      <c r="F440">
        <v>8.9446999999999999E-2</v>
      </c>
      <c r="G440" t="s">
        <v>205</v>
      </c>
      <c r="I440">
        <f t="shared" si="25"/>
        <v>-1.7339805601199999E-2</v>
      </c>
      <c r="J440">
        <f t="shared" si="26"/>
        <v>2.8689337398799999E-2</v>
      </c>
      <c r="K440">
        <f t="shared" si="27"/>
        <v>8.9445194398799999E-2</v>
      </c>
    </row>
    <row r="441" spans="1:11" x14ac:dyDescent="0.35">
      <c r="A441" t="s">
        <v>100</v>
      </c>
      <c r="B441">
        <v>71298</v>
      </c>
      <c r="C441">
        <v>-6.1360999999999999E-2</v>
      </c>
      <c r="D441" s="5">
        <v>8.3334270999999995E-7</v>
      </c>
      <c r="E441">
        <v>-1.4824624999999999E-2</v>
      </c>
      <c r="F441">
        <v>-1.7916999999999999E-2</v>
      </c>
      <c r="G441" t="s">
        <v>205</v>
      </c>
      <c r="I441">
        <f t="shared" si="25"/>
        <v>-6.1361833342709997E-2</v>
      </c>
      <c r="J441">
        <f t="shared" si="26"/>
        <v>-1.4825458342709999E-2</v>
      </c>
      <c r="K441">
        <f t="shared" si="27"/>
        <v>-1.791783334271E-2</v>
      </c>
    </row>
    <row r="442" spans="1:11" x14ac:dyDescent="0.35">
      <c r="A442" t="s">
        <v>101</v>
      </c>
      <c r="B442">
        <v>71298</v>
      </c>
      <c r="C442">
        <v>-5.1716999999999999E-2</v>
      </c>
      <c r="D442" s="5">
        <v>1.2500179E-6</v>
      </c>
      <c r="E442">
        <v>-1.8264328999999999E-2</v>
      </c>
      <c r="F442">
        <v>-2.4317999999999999E-2</v>
      </c>
      <c r="G442" t="s">
        <v>205</v>
      </c>
      <c r="I442">
        <f t="shared" ref="I442:I505" si="28">C442-D442</f>
        <v>-5.1718250017900001E-2</v>
      </c>
      <c r="J442">
        <f t="shared" ref="J442:J505" si="29">E442-D442</f>
        <v>-1.8265579017899998E-2</v>
      </c>
      <c r="K442">
        <f t="shared" ref="K442:K505" si="30">F442-D442</f>
        <v>-2.4319250017899998E-2</v>
      </c>
    </row>
    <row r="443" spans="1:11" x14ac:dyDescent="0.35">
      <c r="A443" t="s">
        <v>102</v>
      </c>
      <c r="B443">
        <v>71298</v>
      </c>
      <c r="C443">
        <v>5.0341999999999998E-2</v>
      </c>
      <c r="D443" s="5">
        <v>5.5555989E-7</v>
      </c>
      <c r="E443">
        <v>-2.2433277000000001E-2</v>
      </c>
      <c r="F443">
        <v>8.4170999999999996E-2</v>
      </c>
      <c r="G443" t="s">
        <v>205</v>
      </c>
      <c r="I443">
        <f t="shared" si="28"/>
        <v>5.0341444440109996E-2</v>
      </c>
      <c r="J443">
        <f t="shared" si="29"/>
        <v>-2.2433832559890003E-2</v>
      </c>
      <c r="K443">
        <f t="shared" si="30"/>
        <v>8.4170444440110001E-2</v>
      </c>
    </row>
    <row r="444" spans="1:11" x14ac:dyDescent="0.35">
      <c r="A444" t="s">
        <v>103</v>
      </c>
      <c r="B444">
        <v>71298</v>
      </c>
      <c r="C444">
        <v>6.9371000000000002E-2</v>
      </c>
      <c r="D444" s="5">
        <v>5.0003378000000001E-6</v>
      </c>
      <c r="E444">
        <v>-5.7314354999999997E-2</v>
      </c>
      <c r="F444">
        <v>0.122749</v>
      </c>
      <c r="G444" t="s">
        <v>205</v>
      </c>
      <c r="I444">
        <f t="shared" si="28"/>
        <v>6.9365999662200001E-2</v>
      </c>
      <c r="J444">
        <f t="shared" si="29"/>
        <v>-5.7319355337799999E-2</v>
      </c>
      <c r="K444">
        <f t="shared" si="30"/>
        <v>0.1227439996622</v>
      </c>
    </row>
    <row r="445" spans="1:11" x14ac:dyDescent="0.35">
      <c r="A445" t="s">
        <v>104</v>
      </c>
      <c r="B445">
        <v>71298</v>
      </c>
      <c r="C445">
        <v>-8.0787999999999999E-2</v>
      </c>
      <c r="D445" s="5">
        <v>4.1666856999999999E-7</v>
      </c>
      <c r="E445">
        <v>-8.4963291999999996E-2</v>
      </c>
      <c r="F445">
        <v>-0.110623</v>
      </c>
      <c r="G445" t="s">
        <v>205</v>
      </c>
      <c r="I445">
        <f t="shared" si="28"/>
        <v>-8.0788416668569993E-2</v>
      </c>
      <c r="J445">
        <f t="shared" si="29"/>
        <v>-8.496370866856999E-2</v>
      </c>
      <c r="K445">
        <f t="shared" si="30"/>
        <v>-0.11062341666856999</v>
      </c>
    </row>
    <row r="446" spans="1:11" x14ac:dyDescent="0.35">
      <c r="A446" t="s">
        <v>105</v>
      </c>
      <c r="B446">
        <v>71298</v>
      </c>
      <c r="C446">
        <v>6.1093000000000001E-2</v>
      </c>
      <c r="D446" s="5">
        <v>5.5555972000000002E-7</v>
      </c>
      <c r="E446">
        <v>7.7098571000000005E-2</v>
      </c>
      <c r="F446">
        <v>5.8712E-2</v>
      </c>
      <c r="G446" t="s">
        <v>205</v>
      </c>
      <c r="I446">
        <f t="shared" si="28"/>
        <v>6.1092444440280003E-2</v>
      </c>
      <c r="J446">
        <f t="shared" si="29"/>
        <v>7.7098015440279999E-2</v>
      </c>
      <c r="K446">
        <f t="shared" si="30"/>
        <v>5.8711444440280001E-2</v>
      </c>
    </row>
    <row r="447" spans="1:11" x14ac:dyDescent="0.35">
      <c r="A447" t="s">
        <v>106</v>
      </c>
      <c r="B447">
        <v>71298</v>
      </c>
      <c r="C447">
        <v>7.1313000000000001E-2</v>
      </c>
      <c r="D447" s="5">
        <v>6.9445048000000002E-7</v>
      </c>
      <c r="E447">
        <v>-2.5843721E-2</v>
      </c>
      <c r="F447">
        <v>1.6673E-2</v>
      </c>
      <c r="G447" t="s">
        <v>205</v>
      </c>
      <c r="I447">
        <f t="shared" si="28"/>
        <v>7.1312305549520005E-2</v>
      </c>
      <c r="J447">
        <f t="shared" si="29"/>
        <v>-2.584441545048E-2</v>
      </c>
      <c r="K447">
        <f t="shared" si="30"/>
        <v>1.6672305549520001E-2</v>
      </c>
    </row>
    <row r="448" spans="1:11" x14ac:dyDescent="0.35">
      <c r="A448" t="s">
        <v>107</v>
      </c>
      <c r="B448">
        <v>71298</v>
      </c>
      <c r="C448">
        <v>-0.144289</v>
      </c>
      <c r="D448" s="5">
        <v>1.6666698E-7</v>
      </c>
      <c r="E448">
        <v>3.7129038999999999E-3</v>
      </c>
      <c r="F448">
        <v>-0.106624</v>
      </c>
      <c r="G448" t="s">
        <v>205</v>
      </c>
      <c r="I448">
        <f t="shared" si="28"/>
        <v>-0.14428916666698</v>
      </c>
      <c r="J448">
        <f t="shared" si="29"/>
        <v>3.7127372330199998E-3</v>
      </c>
      <c r="K448">
        <f t="shared" si="30"/>
        <v>-0.10662416666697999</v>
      </c>
    </row>
    <row r="449" spans="1:11" x14ac:dyDescent="0.35">
      <c r="A449" t="s">
        <v>108</v>
      </c>
      <c r="B449">
        <v>71298</v>
      </c>
      <c r="C449">
        <v>8.8619000000000003E-2</v>
      </c>
      <c r="D449" s="5">
        <v>4.1666901999999998E-7</v>
      </c>
      <c r="E449">
        <v>5.4102684999999998E-2</v>
      </c>
      <c r="F449">
        <v>0.113955</v>
      </c>
      <c r="G449" t="s">
        <v>205</v>
      </c>
      <c r="I449">
        <f t="shared" si="28"/>
        <v>8.8618583330980008E-2</v>
      </c>
      <c r="J449">
        <f t="shared" si="29"/>
        <v>5.4102268330979995E-2</v>
      </c>
      <c r="K449">
        <f t="shared" si="30"/>
        <v>0.11395458333098001</v>
      </c>
    </row>
    <row r="450" spans="1:11" x14ac:dyDescent="0.35">
      <c r="A450" t="s">
        <v>109</v>
      </c>
      <c r="B450">
        <v>71298</v>
      </c>
      <c r="C450">
        <v>-2.8015000000000002E-2</v>
      </c>
      <c r="D450" s="5">
        <v>1.6666986000000001E-6</v>
      </c>
      <c r="E450">
        <v>4.1180659000000001E-2</v>
      </c>
      <c r="F450">
        <v>-2.9673000000000001E-2</v>
      </c>
      <c r="G450" t="s">
        <v>205</v>
      </c>
      <c r="I450">
        <f t="shared" si="28"/>
        <v>-2.8016666698600003E-2</v>
      </c>
      <c r="J450">
        <f t="shared" si="29"/>
        <v>4.11789923014E-2</v>
      </c>
      <c r="K450">
        <f t="shared" si="30"/>
        <v>-2.9674666698600003E-2</v>
      </c>
    </row>
    <row r="451" spans="1:11" x14ac:dyDescent="0.35">
      <c r="A451" t="s">
        <v>110</v>
      </c>
      <c r="B451">
        <v>71298</v>
      </c>
      <c r="C451">
        <v>-8.9042999999999997E-2</v>
      </c>
      <c r="D451" s="5">
        <v>1.1111247000000001E-6</v>
      </c>
      <c r="E451">
        <v>2.4026984000000001E-2</v>
      </c>
      <c r="F451">
        <v>-1.3184E-2</v>
      </c>
      <c r="G451" t="s">
        <v>205</v>
      </c>
      <c r="I451">
        <f t="shared" si="28"/>
        <v>-8.9044111124699996E-2</v>
      </c>
      <c r="J451">
        <f t="shared" si="29"/>
        <v>2.4025872875300003E-2</v>
      </c>
      <c r="K451">
        <f t="shared" si="30"/>
        <v>-1.31851111247E-2</v>
      </c>
    </row>
    <row r="452" spans="1:11" x14ac:dyDescent="0.35">
      <c r="A452" t="s">
        <v>111</v>
      </c>
      <c r="B452">
        <v>71298</v>
      </c>
      <c r="C452">
        <v>-7.0147000000000001E-2</v>
      </c>
      <c r="D452" s="5">
        <v>9.722349400000001E-7</v>
      </c>
      <c r="E452">
        <v>-6.8070008E-3</v>
      </c>
      <c r="F452">
        <v>-1.48E-3</v>
      </c>
      <c r="G452" t="s">
        <v>205</v>
      </c>
      <c r="I452">
        <f t="shared" si="28"/>
        <v>-7.0147972234940001E-2</v>
      </c>
      <c r="J452">
        <f t="shared" si="29"/>
        <v>-6.8079730349399998E-3</v>
      </c>
      <c r="K452">
        <f t="shared" si="30"/>
        <v>-1.4809722349400001E-3</v>
      </c>
    </row>
    <row r="453" spans="1:11" x14ac:dyDescent="0.35">
      <c r="A453" t="s">
        <v>112</v>
      </c>
      <c r="B453">
        <v>71298</v>
      </c>
      <c r="C453">
        <v>-2.8938999999999999E-2</v>
      </c>
      <c r="D453" s="5">
        <v>1.8055947E-6</v>
      </c>
      <c r="E453">
        <v>-6.5889180000000006E-2</v>
      </c>
      <c r="F453">
        <v>-6.3380000000000006E-2</v>
      </c>
      <c r="G453" t="s">
        <v>205</v>
      </c>
      <c r="I453">
        <f t="shared" si="28"/>
        <v>-2.8940805594700001E-2</v>
      </c>
      <c r="J453">
        <f t="shared" si="29"/>
        <v>-6.5890985594700011E-2</v>
      </c>
      <c r="K453">
        <f t="shared" si="30"/>
        <v>-6.3381805594700011E-2</v>
      </c>
    </row>
    <row r="454" spans="1:11" x14ac:dyDescent="0.35">
      <c r="A454" t="s">
        <v>113</v>
      </c>
      <c r="B454">
        <v>71298</v>
      </c>
      <c r="C454">
        <v>-3.8145999999999999E-2</v>
      </c>
      <c r="D454" s="5">
        <v>8.3334305000000002E-7</v>
      </c>
      <c r="E454">
        <v>3.8209856E-2</v>
      </c>
      <c r="F454">
        <v>2.3546000000000001E-2</v>
      </c>
      <c r="G454" t="s">
        <v>205</v>
      </c>
      <c r="I454">
        <f t="shared" si="28"/>
        <v>-3.8146833343049996E-2</v>
      </c>
      <c r="J454">
        <f t="shared" si="29"/>
        <v>3.8209022656950004E-2</v>
      </c>
      <c r="K454">
        <f t="shared" si="30"/>
        <v>2.3545166656950001E-2</v>
      </c>
    </row>
    <row r="455" spans="1:11" x14ac:dyDescent="0.35">
      <c r="A455" t="s">
        <v>114</v>
      </c>
      <c r="B455">
        <v>71298</v>
      </c>
      <c r="C455">
        <v>-0.124834</v>
      </c>
      <c r="D455" s="5">
        <v>9.722349400000001E-7</v>
      </c>
      <c r="E455">
        <v>1.0293739999999999E-2</v>
      </c>
      <c r="F455">
        <v>8.3770000000000008E-3</v>
      </c>
      <c r="G455" t="s">
        <v>205</v>
      </c>
      <c r="I455">
        <f t="shared" si="28"/>
        <v>-0.12483497223494</v>
      </c>
      <c r="J455">
        <f t="shared" si="29"/>
        <v>1.0292767765059999E-2</v>
      </c>
      <c r="K455">
        <f t="shared" si="30"/>
        <v>8.3760277650600009E-3</v>
      </c>
    </row>
    <row r="456" spans="1:11" x14ac:dyDescent="0.35">
      <c r="A456" t="s">
        <v>115</v>
      </c>
      <c r="B456">
        <v>71298</v>
      </c>
      <c r="C456">
        <v>0.177616</v>
      </c>
      <c r="D456" s="5">
        <v>1.3889111E-6</v>
      </c>
      <c r="E456">
        <v>2.6292300000000001E-2</v>
      </c>
      <c r="F456">
        <v>4.9396000000000002E-2</v>
      </c>
      <c r="G456" t="s">
        <v>205</v>
      </c>
      <c r="I456">
        <f t="shared" si="28"/>
        <v>0.1776146110889</v>
      </c>
      <c r="J456">
        <f t="shared" si="29"/>
        <v>2.6290911088900002E-2</v>
      </c>
      <c r="K456">
        <f t="shared" si="30"/>
        <v>4.9394611088900003E-2</v>
      </c>
    </row>
    <row r="457" spans="1:11" x14ac:dyDescent="0.35">
      <c r="A457" t="s">
        <v>116</v>
      </c>
      <c r="B457">
        <v>71298</v>
      </c>
      <c r="C457">
        <v>8.4112000000000006E-2</v>
      </c>
      <c r="D457" s="5">
        <v>2.3611862999999998E-6</v>
      </c>
      <c r="E457">
        <v>2.6509768999999999E-2</v>
      </c>
      <c r="F457">
        <v>4.6705999999999998E-2</v>
      </c>
      <c r="G457" t="s">
        <v>205</v>
      </c>
      <c r="I457">
        <f t="shared" si="28"/>
        <v>8.4109638813700011E-2</v>
      </c>
      <c r="J457">
        <f t="shared" si="29"/>
        <v>2.65074078137E-2</v>
      </c>
      <c r="K457">
        <f t="shared" si="30"/>
        <v>4.6703638813699995E-2</v>
      </c>
    </row>
    <row r="458" spans="1:11" x14ac:dyDescent="0.35">
      <c r="A458" t="s">
        <v>117</v>
      </c>
      <c r="B458">
        <v>71298</v>
      </c>
      <c r="C458">
        <v>-3.0172000000000001E-2</v>
      </c>
      <c r="D458" s="5">
        <v>1.5278093000000001E-6</v>
      </c>
      <c r="E458">
        <v>-1.0423534999999999E-2</v>
      </c>
      <c r="F458">
        <v>-2.9437000000000001E-2</v>
      </c>
      <c r="G458" t="s">
        <v>205</v>
      </c>
      <c r="I458">
        <f t="shared" si="28"/>
        <v>-3.0173527809300001E-2</v>
      </c>
      <c r="J458">
        <f t="shared" si="29"/>
        <v>-1.0425062809299999E-2</v>
      </c>
      <c r="K458">
        <f t="shared" si="30"/>
        <v>-2.9438527809300001E-2</v>
      </c>
    </row>
    <row r="459" spans="1:11" x14ac:dyDescent="0.35">
      <c r="A459" t="s">
        <v>118</v>
      </c>
      <c r="B459">
        <v>71298</v>
      </c>
      <c r="C459">
        <v>-0.14246900000000001</v>
      </c>
      <c r="D459" s="5">
        <v>2.7778665000000001E-6</v>
      </c>
      <c r="E459">
        <v>6.5123695000000002E-3</v>
      </c>
      <c r="F459">
        <v>-4.6750000000000003E-3</v>
      </c>
      <c r="G459" t="s">
        <v>205</v>
      </c>
      <c r="I459">
        <f t="shared" si="28"/>
        <v>-0.1424717778665</v>
      </c>
      <c r="J459">
        <f t="shared" si="29"/>
        <v>6.5095916335000002E-3</v>
      </c>
      <c r="K459">
        <f t="shared" si="30"/>
        <v>-4.6777778665000004E-3</v>
      </c>
    </row>
    <row r="460" spans="1:11" x14ac:dyDescent="0.35">
      <c r="A460" t="s">
        <v>119</v>
      </c>
      <c r="B460">
        <v>71298</v>
      </c>
      <c r="C460">
        <v>1.3901E-2</v>
      </c>
      <c r="D460" s="5">
        <v>3.1945822000000001E-6</v>
      </c>
      <c r="E460">
        <v>1.2589275E-2</v>
      </c>
      <c r="F460">
        <v>-2.4267E-2</v>
      </c>
      <c r="G460" t="s">
        <v>205</v>
      </c>
      <c r="I460">
        <f t="shared" si="28"/>
        <v>1.38978054178E-2</v>
      </c>
      <c r="J460">
        <f t="shared" si="29"/>
        <v>1.2586080417800001E-2</v>
      </c>
      <c r="K460">
        <f t="shared" si="30"/>
        <v>-2.4270194582200002E-2</v>
      </c>
    </row>
    <row r="461" spans="1:11" x14ac:dyDescent="0.35">
      <c r="A461" t="s">
        <v>120</v>
      </c>
      <c r="B461">
        <v>71298</v>
      </c>
      <c r="C461">
        <v>-8.8260000000000005E-2</v>
      </c>
      <c r="D461" s="5">
        <v>5.5555926999999998E-7</v>
      </c>
      <c r="E461">
        <v>5.4154015999999999E-2</v>
      </c>
      <c r="F461">
        <v>-5.0639999999999999E-3</v>
      </c>
      <c r="G461" t="s">
        <v>205</v>
      </c>
      <c r="I461">
        <f t="shared" si="28"/>
        <v>-8.826055555927001E-2</v>
      </c>
      <c r="J461">
        <f t="shared" si="29"/>
        <v>5.4153460440730002E-2</v>
      </c>
      <c r="K461">
        <f t="shared" si="30"/>
        <v>-5.0645555592700002E-3</v>
      </c>
    </row>
    <row r="462" spans="1:11" x14ac:dyDescent="0.35">
      <c r="A462" t="s">
        <v>121</v>
      </c>
      <c r="B462">
        <v>71298</v>
      </c>
      <c r="C462">
        <v>-4.6365999999999997E-2</v>
      </c>
      <c r="D462" s="5">
        <v>1.1111283999999999E-6</v>
      </c>
      <c r="E462">
        <v>8.3725397000000007E-3</v>
      </c>
      <c r="F462">
        <v>-5.0867999999999997E-2</v>
      </c>
      <c r="G462" t="s">
        <v>205</v>
      </c>
      <c r="I462">
        <f t="shared" si="28"/>
        <v>-4.6367111128399995E-2</v>
      </c>
      <c r="J462">
        <f t="shared" si="29"/>
        <v>8.3714285716000002E-3</v>
      </c>
      <c r="K462">
        <f t="shared" si="30"/>
        <v>-5.0869111128399994E-2</v>
      </c>
    </row>
    <row r="463" spans="1:11" x14ac:dyDescent="0.35">
      <c r="A463" t="s">
        <v>122</v>
      </c>
      <c r="B463">
        <v>71298</v>
      </c>
      <c r="C463">
        <v>-2.7778000000000001E-2</v>
      </c>
      <c r="D463" s="5">
        <v>2.3611892000000002E-6</v>
      </c>
      <c r="E463">
        <v>3.5316341000000001E-2</v>
      </c>
      <c r="F463">
        <v>9.6080000000000002E-3</v>
      </c>
      <c r="G463" t="s">
        <v>205</v>
      </c>
      <c r="I463">
        <f t="shared" si="28"/>
        <v>-2.7780361189199999E-2</v>
      </c>
      <c r="J463">
        <f t="shared" si="29"/>
        <v>3.5313979810799999E-2</v>
      </c>
      <c r="K463">
        <f t="shared" si="30"/>
        <v>9.6056388107999997E-3</v>
      </c>
    </row>
    <row r="464" spans="1:11" x14ac:dyDescent="0.35">
      <c r="A464" t="s">
        <v>123</v>
      </c>
      <c r="B464">
        <v>71298</v>
      </c>
      <c r="C464">
        <v>-0.329592</v>
      </c>
      <c r="D464" s="5">
        <v>9.7223551000000005E-7</v>
      </c>
      <c r="E464">
        <v>1.4946403E-2</v>
      </c>
      <c r="F464">
        <v>-7.5743000000000005E-2</v>
      </c>
      <c r="G464" t="s">
        <v>205</v>
      </c>
      <c r="I464">
        <f t="shared" si="28"/>
        <v>-0.32959297223550998</v>
      </c>
      <c r="J464">
        <f t="shared" si="29"/>
        <v>1.494543076449E-2</v>
      </c>
      <c r="K464">
        <f t="shared" si="30"/>
        <v>-7.5743972235510007E-2</v>
      </c>
    </row>
    <row r="465" spans="1:11" x14ac:dyDescent="0.35">
      <c r="A465" t="s">
        <v>124</v>
      </c>
      <c r="B465">
        <v>71298</v>
      </c>
      <c r="C465">
        <v>8.1684999999999994E-2</v>
      </c>
      <c r="D465" s="5">
        <v>9.7223312000000006E-7</v>
      </c>
      <c r="E465">
        <v>1.9178807999999999E-2</v>
      </c>
      <c r="F465">
        <v>-6.1988000000000001E-2</v>
      </c>
      <c r="G465" t="s">
        <v>205</v>
      </c>
      <c r="I465">
        <f t="shared" si="28"/>
        <v>8.1684027766879996E-2</v>
      </c>
      <c r="J465">
        <f t="shared" si="29"/>
        <v>1.9177835766879998E-2</v>
      </c>
      <c r="K465">
        <f t="shared" si="30"/>
        <v>-6.1988972233119999E-2</v>
      </c>
    </row>
    <row r="466" spans="1:11" x14ac:dyDescent="0.35">
      <c r="A466" t="s">
        <v>125</v>
      </c>
      <c r="B466">
        <v>71298</v>
      </c>
      <c r="C466">
        <v>-0.25473499999999999</v>
      </c>
      <c r="D466" s="5">
        <v>5.5555972000000002E-7</v>
      </c>
      <c r="E466">
        <v>-1.5042944000000001E-2</v>
      </c>
      <c r="F466">
        <v>-0.11058800000000001</v>
      </c>
      <c r="G466" t="s">
        <v>205</v>
      </c>
      <c r="I466">
        <f t="shared" si="28"/>
        <v>-0.25473555555971999</v>
      </c>
      <c r="J466">
        <f t="shared" si="29"/>
        <v>-1.5043499559720001E-2</v>
      </c>
      <c r="K466">
        <f t="shared" si="30"/>
        <v>-0.11058855555972001</v>
      </c>
    </row>
    <row r="467" spans="1:11" x14ac:dyDescent="0.35">
      <c r="A467" t="s">
        <v>126</v>
      </c>
      <c r="B467">
        <v>71298</v>
      </c>
      <c r="C467">
        <v>7.8145000000000006E-2</v>
      </c>
      <c r="D467" s="5">
        <v>1.3888915000000001E-7</v>
      </c>
      <c r="E467">
        <v>5.2630160000000002E-2</v>
      </c>
      <c r="F467">
        <v>7.4301000000000006E-2</v>
      </c>
      <c r="G467" t="s">
        <v>205</v>
      </c>
      <c r="I467">
        <f t="shared" si="28"/>
        <v>7.8144861110850006E-2</v>
      </c>
      <c r="J467">
        <f t="shared" si="29"/>
        <v>5.2630021110850002E-2</v>
      </c>
      <c r="K467">
        <f t="shared" si="30"/>
        <v>7.4300861110850006E-2</v>
      </c>
    </row>
    <row r="468" spans="1:11" x14ac:dyDescent="0.35">
      <c r="A468" t="s">
        <v>127</v>
      </c>
      <c r="B468">
        <v>71298</v>
      </c>
      <c r="C468">
        <v>0.131408</v>
      </c>
      <c r="D468" s="5">
        <v>2.7777863999999998E-7</v>
      </c>
      <c r="E468">
        <v>-2.5734027999999999E-2</v>
      </c>
      <c r="F468">
        <v>5.2047000000000003E-2</v>
      </c>
      <c r="G468" t="s">
        <v>205</v>
      </c>
      <c r="I468">
        <f t="shared" si="28"/>
        <v>0.13140772222135999</v>
      </c>
      <c r="J468">
        <f t="shared" si="29"/>
        <v>-2.5734305778639999E-2</v>
      </c>
      <c r="K468">
        <f t="shared" si="30"/>
        <v>5.2046722221360003E-2</v>
      </c>
    </row>
    <row r="469" spans="1:11" x14ac:dyDescent="0.35">
      <c r="A469" t="s">
        <v>128</v>
      </c>
      <c r="B469">
        <v>71298</v>
      </c>
      <c r="C469">
        <v>-2.7675999999999999E-2</v>
      </c>
      <c r="D469" s="5">
        <v>6.9445092999999996E-7</v>
      </c>
      <c r="E469">
        <v>3.7508949999999999E-2</v>
      </c>
      <c r="F469">
        <v>-4.7837999999999999E-2</v>
      </c>
      <c r="G469" t="s">
        <v>205</v>
      </c>
      <c r="I469">
        <f t="shared" si="28"/>
        <v>-2.767669445093E-2</v>
      </c>
      <c r="J469">
        <f t="shared" si="29"/>
        <v>3.7508255549070002E-2</v>
      </c>
      <c r="K469">
        <f t="shared" si="30"/>
        <v>-4.7838694450929996E-2</v>
      </c>
    </row>
    <row r="470" spans="1:11" x14ac:dyDescent="0.35">
      <c r="A470" t="s">
        <v>129</v>
      </c>
      <c r="B470">
        <v>71298</v>
      </c>
      <c r="C470">
        <v>4.1353000000000001E-2</v>
      </c>
      <c r="D470" s="5">
        <v>6.9445025000000003E-7</v>
      </c>
      <c r="E470">
        <v>3.5732113000000003E-2</v>
      </c>
      <c r="F470">
        <v>-3.4329999999999999E-3</v>
      </c>
      <c r="G470" t="s">
        <v>205</v>
      </c>
      <c r="I470">
        <f t="shared" si="28"/>
        <v>4.1352305549750001E-2</v>
      </c>
      <c r="J470">
        <f t="shared" si="29"/>
        <v>3.5731418549750003E-2</v>
      </c>
      <c r="K470">
        <f t="shared" si="30"/>
        <v>-3.4336944502499998E-3</v>
      </c>
    </row>
    <row r="471" spans="1:11" x14ac:dyDescent="0.35">
      <c r="A471" t="s">
        <v>130</v>
      </c>
      <c r="B471">
        <v>71298</v>
      </c>
      <c r="C471">
        <v>-0.146983</v>
      </c>
      <c r="D471" s="5">
        <v>9.7223597000000002E-7</v>
      </c>
      <c r="E471">
        <v>2.3912761000000001E-2</v>
      </c>
      <c r="F471">
        <v>-5.5112000000000001E-2</v>
      </c>
      <c r="G471" t="s">
        <v>205</v>
      </c>
      <c r="I471">
        <f t="shared" si="28"/>
        <v>-0.14698397223597001</v>
      </c>
      <c r="J471">
        <f t="shared" si="29"/>
        <v>2.3911788764030002E-2</v>
      </c>
      <c r="K471">
        <f t="shared" si="30"/>
        <v>-5.5112972235970004E-2</v>
      </c>
    </row>
    <row r="472" spans="1:11" x14ac:dyDescent="0.35">
      <c r="A472" t="s">
        <v>131</v>
      </c>
      <c r="B472">
        <v>71298</v>
      </c>
      <c r="C472">
        <v>6.9133E-2</v>
      </c>
      <c r="D472" s="5">
        <v>1.5278093000000001E-6</v>
      </c>
      <c r="E472">
        <v>2.6196547000000001E-2</v>
      </c>
      <c r="F472">
        <v>-3.7945E-2</v>
      </c>
      <c r="G472" t="s">
        <v>205</v>
      </c>
      <c r="I472">
        <f t="shared" si="28"/>
        <v>6.9131472190699997E-2</v>
      </c>
      <c r="J472">
        <f t="shared" si="29"/>
        <v>2.6195019190700001E-2</v>
      </c>
      <c r="K472">
        <f t="shared" si="30"/>
        <v>-3.7946527809300003E-2</v>
      </c>
    </row>
    <row r="473" spans="1:11" x14ac:dyDescent="0.35">
      <c r="A473" t="s">
        <v>132</v>
      </c>
      <c r="B473">
        <v>71298</v>
      </c>
      <c r="C473">
        <v>9.3590999999999994E-2</v>
      </c>
      <c r="D473" s="5">
        <v>4.1666865999999999E-7</v>
      </c>
      <c r="E473">
        <v>-2.9955011E-2</v>
      </c>
      <c r="F473">
        <v>3.4188999999999997E-2</v>
      </c>
      <c r="G473" t="s">
        <v>205</v>
      </c>
      <c r="I473">
        <f t="shared" si="28"/>
        <v>9.3590583331339988E-2</v>
      </c>
      <c r="J473">
        <f t="shared" si="29"/>
        <v>-2.9955427668659999E-2</v>
      </c>
      <c r="K473">
        <f t="shared" si="30"/>
        <v>3.4188583331339999E-2</v>
      </c>
    </row>
    <row r="474" spans="1:11" x14ac:dyDescent="0.35">
      <c r="A474" t="s">
        <v>133</v>
      </c>
      <c r="B474">
        <v>71298</v>
      </c>
      <c r="C474">
        <v>5.9646999999999999E-2</v>
      </c>
      <c r="D474" s="5">
        <v>8.3334270999999995E-7</v>
      </c>
      <c r="E474">
        <v>4.6289820000000002E-2</v>
      </c>
      <c r="F474">
        <v>6.2702999999999995E-2</v>
      </c>
      <c r="G474" t="s">
        <v>205</v>
      </c>
      <c r="I474">
        <f t="shared" si="28"/>
        <v>5.9646166657290001E-2</v>
      </c>
      <c r="J474">
        <f t="shared" si="29"/>
        <v>4.6288986657290004E-2</v>
      </c>
      <c r="K474">
        <f t="shared" si="30"/>
        <v>6.270216665728999E-2</v>
      </c>
    </row>
    <row r="475" spans="1:11" x14ac:dyDescent="0.35">
      <c r="A475" t="s">
        <v>134</v>
      </c>
      <c r="B475">
        <v>71298</v>
      </c>
      <c r="C475">
        <v>-0.12512300000000001</v>
      </c>
      <c r="D475" s="5">
        <v>1.2500211E-6</v>
      </c>
      <c r="E475">
        <v>4.4357283000000004E-3</v>
      </c>
      <c r="F475">
        <v>-3.1420999999999998E-2</v>
      </c>
      <c r="G475" t="s">
        <v>205</v>
      </c>
      <c r="I475">
        <f t="shared" si="28"/>
        <v>-0.1251242500211</v>
      </c>
      <c r="J475">
        <f t="shared" si="29"/>
        <v>4.4344782789000007E-3</v>
      </c>
      <c r="K475">
        <f t="shared" si="30"/>
        <v>-3.1422250021099996E-2</v>
      </c>
    </row>
    <row r="476" spans="1:11" x14ac:dyDescent="0.35">
      <c r="A476" t="s">
        <v>135</v>
      </c>
      <c r="B476">
        <v>71298</v>
      </c>
      <c r="C476">
        <v>-2.0191000000000001E-2</v>
      </c>
      <c r="D476" s="5">
        <v>8.3334168999999996E-7</v>
      </c>
      <c r="E476">
        <v>1.4230842999999999E-3</v>
      </c>
      <c r="F476">
        <v>4.9350000000000002E-3</v>
      </c>
      <c r="G476" t="s">
        <v>205</v>
      </c>
      <c r="I476">
        <f t="shared" si="28"/>
        <v>-2.0191833341690002E-2</v>
      </c>
      <c r="J476">
        <f t="shared" si="29"/>
        <v>1.4222509583099998E-3</v>
      </c>
      <c r="K476">
        <f t="shared" si="30"/>
        <v>4.9341666583100005E-3</v>
      </c>
    </row>
    <row r="477" spans="1:11" x14ac:dyDescent="0.35">
      <c r="A477" t="s">
        <v>136</v>
      </c>
      <c r="B477">
        <v>71298</v>
      </c>
      <c r="C477">
        <v>-7.4985999999999997E-2</v>
      </c>
      <c r="D477" s="5">
        <v>5.5555893000000002E-7</v>
      </c>
      <c r="E477">
        <v>2.0251281999999999E-2</v>
      </c>
      <c r="F477">
        <v>-3.0509999999999999E-2</v>
      </c>
      <c r="G477" t="s">
        <v>205</v>
      </c>
      <c r="I477">
        <f t="shared" si="28"/>
        <v>-7.4986555558929996E-2</v>
      </c>
      <c r="J477">
        <f t="shared" si="29"/>
        <v>2.025072644107E-2</v>
      </c>
      <c r="K477">
        <f t="shared" si="30"/>
        <v>-3.0510555558929998E-2</v>
      </c>
    </row>
    <row r="478" spans="1:11" x14ac:dyDescent="0.35">
      <c r="A478" t="s">
        <v>137</v>
      </c>
      <c r="B478">
        <v>71298</v>
      </c>
      <c r="C478">
        <v>0.13594000000000001</v>
      </c>
      <c r="D478" s="5">
        <v>1.1111276999999999E-6</v>
      </c>
      <c r="E478">
        <v>2.8027399000000001E-2</v>
      </c>
      <c r="F478">
        <v>6.3189999999999996E-2</v>
      </c>
      <c r="G478" t="s">
        <v>205</v>
      </c>
      <c r="I478">
        <f t="shared" si="28"/>
        <v>0.13593888887230002</v>
      </c>
      <c r="J478">
        <f t="shared" si="29"/>
        <v>2.80262878723E-2</v>
      </c>
      <c r="K478">
        <f t="shared" si="30"/>
        <v>6.3188888872299995E-2</v>
      </c>
    </row>
    <row r="479" spans="1:11" x14ac:dyDescent="0.35">
      <c r="A479" t="s">
        <v>138</v>
      </c>
      <c r="B479">
        <v>71298</v>
      </c>
      <c r="C479">
        <v>-1.2022E-2</v>
      </c>
      <c r="D479" s="5">
        <v>4.1666874000000002E-7</v>
      </c>
      <c r="E479">
        <v>-2.0529615000000001E-2</v>
      </c>
      <c r="F479">
        <v>-3.6317000000000002E-2</v>
      </c>
      <c r="G479" t="s">
        <v>205</v>
      </c>
      <c r="I479">
        <f t="shared" si="28"/>
        <v>-1.202241666874E-2</v>
      </c>
      <c r="J479">
        <f t="shared" si="29"/>
        <v>-2.0530031668740002E-2</v>
      </c>
      <c r="K479">
        <f t="shared" si="30"/>
        <v>-3.6317416668739999E-2</v>
      </c>
    </row>
    <row r="480" spans="1:11" x14ac:dyDescent="0.35">
      <c r="A480" t="s">
        <v>139</v>
      </c>
      <c r="B480">
        <v>71298</v>
      </c>
      <c r="C480">
        <v>1.9911000000000002E-2</v>
      </c>
      <c r="D480" s="5">
        <v>2.0833394000000001E-7</v>
      </c>
      <c r="E480">
        <v>4.0290773000000002E-2</v>
      </c>
      <c r="F480">
        <v>3.8089999999999999E-3</v>
      </c>
      <c r="G480" t="s">
        <v>205</v>
      </c>
      <c r="I480">
        <f t="shared" si="28"/>
        <v>1.9910791666060003E-2</v>
      </c>
      <c r="J480">
        <f t="shared" si="29"/>
        <v>4.029056466606E-2</v>
      </c>
      <c r="K480">
        <f t="shared" si="30"/>
        <v>3.8087916660599999E-3</v>
      </c>
    </row>
    <row r="481" spans="1:11" x14ac:dyDescent="0.35">
      <c r="A481" t="s">
        <v>140</v>
      </c>
      <c r="B481">
        <v>71298</v>
      </c>
      <c r="C481">
        <v>-0.20282800000000001</v>
      </c>
      <c r="D481" s="5">
        <v>5.5555972000000002E-7</v>
      </c>
      <c r="E481">
        <v>-2.5125346999999999E-2</v>
      </c>
      <c r="F481">
        <v>-6.1762999999999998E-2</v>
      </c>
      <c r="G481" t="s">
        <v>205</v>
      </c>
      <c r="I481">
        <f t="shared" si="28"/>
        <v>-0.20282855555972001</v>
      </c>
      <c r="J481">
        <f t="shared" si="29"/>
        <v>-2.5125902559719998E-2</v>
      </c>
      <c r="K481">
        <f t="shared" si="30"/>
        <v>-6.1763555559719997E-2</v>
      </c>
    </row>
    <row r="482" spans="1:11" x14ac:dyDescent="0.35">
      <c r="A482" t="s">
        <v>141</v>
      </c>
      <c r="B482">
        <v>71298</v>
      </c>
      <c r="C482">
        <v>-0.19031400000000001</v>
      </c>
      <c r="D482" s="5">
        <v>4.1666865999999999E-7</v>
      </c>
      <c r="E482">
        <v>3.7308317000000001E-2</v>
      </c>
      <c r="F482">
        <v>-3.0547999999999999E-2</v>
      </c>
      <c r="G482" t="s">
        <v>205</v>
      </c>
      <c r="I482">
        <f t="shared" si="28"/>
        <v>-0.19031441666866</v>
      </c>
      <c r="J482">
        <f t="shared" si="29"/>
        <v>3.7307900331340002E-2</v>
      </c>
      <c r="K482">
        <f t="shared" si="30"/>
        <v>-3.0548416668659997E-2</v>
      </c>
    </row>
    <row r="483" spans="1:11" x14ac:dyDescent="0.35">
      <c r="A483" t="s">
        <v>142</v>
      </c>
      <c r="B483">
        <v>71298</v>
      </c>
      <c r="C483">
        <v>5.8970000000000003E-3</v>
      </c>
      <c r="D483" s="5">
        <v>2.7777887000000002E-7</v>
      </c>
      <c r="E483">
        <v>2.0212193999999999E-2</v>
      </c>
      <c r="F483">
        <v>-4.8820000000000001E-3</v>
      </c>
      <c r="G483" t="s">
        <v>205</v>
      </c>
      <c r="I483">
        <f t="shared" si="28"/>
        <v>5.8967222211300007E-3</v>
      </c>
      <c r="J483">
        <f t="shared" si="29"/>
        <v>2.021191622113E-2</v>
      </c>
      <c r="K483">
        <f t="shared" si="30"/>
        <v>-4.8822777788699997E-3</v>
      </c>
    </row>
    <row r="484" spans="1:11" x14ac:dyDescent="0.35">
      <c r="A484" t="s">
        <v>143</v>
      </c>
      <c r="B484">
        <v>71298</v>
      </c>
      <c r="C484">
        <v>-9.5879000000000006E-2</v>
      </c>
      <c r="D484" s="5">
        <v>1.1111283999999999E-6</v>
      </c>
      <c r="E484">
        <v>-3.5814726999999998E-3</v>
      </c>
      <c r="F484">
        <v>1.3112E-2</v>
      </c>
      <c r="G484" t="s">
        <v>205</v>
      </c>
      <c r="I484">
        <f t="shared" si="28"/>
        <v>-9.5880111128400003E-2</v>
      </c>
      <c r="J484">
        <f t="shared" si="29"/>
        <v>-3.5825838283999999E-3</v>
      </c>
      <c r="K484">
        <f t="shared" si="30"/>
        <v>1.31108888716E-2</v>
      </c>
    </row>
    <row r="485" spans="1:11" x14ac:dyDescent="0.35">
      <c r="A485" t="s">
        <v>144</v>
      </c>
      <c r="B485">
        <v>71298</v>
      </c>
      <c r="C485">
        <v>0.188837</v>
      </c>
      <c r="D485" s="5">
        <v>4.1666856999999999E-7</v>
      </c>
      <c r="E485">
        <v>-2.7105996E-2</v>
      </c>
      <c r="F485">
        <v>8.6899000000000004E-2</v>
      </c>
      <c r="G485" t="s">
        <v>205</v>
      </c>
      <c r="I485">
        <f t="shared" si="28"/>
        <v>0.18883658333143</v>
      </c>
      <c r="J485">
        <f t="shared" si="29"/>
        <v>-2.7106412668570001E-2</v>
      </c>
      <c r="K485">
        <f t="shared" si="30"/>
        <v>8.689858333143001E-2</v>
      </c>
    </row>
    <row r="486" spans="1:11" x14ac:dyDescent="0.35">
      <c r="A486" t="s">
        <v>145</v>
      </c>
      <c r="B486">
        <v>71298</v>
      </c>
      <c r="C486">
        <v>2.2692E-2</v>
      </c>
      <c r="D486" s="5">
        <v>4.1666901999999998E-7</v>
      </c>
      <c r="E486">
        <v>5.6000657000000002E-2</v>
      </c>
      <c r="F486">
        <v>-5.9052E-2</v>
      </c>
      <c r="G486" t="s">
        <v>205</v>
      </c>
      <c r="I486">
        <f t="shared" si="28"/>
        <v>2.2691583330980002E-2</v>
      </c>
      <c r="J486">
        <f t="shared" si="29"/>
        <v>5.600024033098E-2</v>
      </c>
      <c r="K486">
        <f t="shared" si="30"/>
        <v>-5.9052416669020003E-2</v>
      </c>
    </row>
    <row r="487" spans="1:11" x14ac:dyDescent="0.35">
      <c r="A487" t="s">
        <v>146</v>
      </c>
      <c r="B487">
        <v>71298</v>
      </c>
      <c r="C487">
        <v>-0.158218</v>
      </c>
      <c r="D487" s="5">
        <v>6.9445092999999996E-7</v>
      </c>
      <c r="E487">
        <v>-1.0326237E-2</v>
      </c>
      <c r="F487">
        <v>-2.1521999999999999E-2</v>
      </c>
      <c r="G487" t="s">
        <v>205</v>
      </c>
      <c r="I487">
        <f t="shared" si="28"/>
        <v>-0.15821869445093001</v>
      </c>
      <c r="J487">
        <f t="shared" si="29"/>
        <v>-1.0326931450930001E-2</v>
      </c>
      <c r="K487">
        <f t="shared" si="30"/>
        <v>-2.152269445093E-2</v>
      </c>
    </row>
    <row r="488" spans="1:11" x14ac:dyDescent="0.35">
      <c r="A488" t="s">
        <v>147</v>
      </c>
      <c r="B488">
        <v>71298</v>
      </c>
      <c r="C488">
        <v>0.18795600000000001</v>
      </c>
      <c r="D488" s="5">
        <v>6.9444996999999997E-7</v>
      </c>
      <c r="E488">
        <v>8.6387536000000001E-3</v>
      </c>
      <c r="F488">
        <v>-1.6720000000000001E-3</v>
      </c>
      <c r="G488" t="s">
        <v>205</v>
      </c>
      <c r="I488">
        <f t="shared" si="28"/>
        <v>0.18795530555003001</v>
      </c>
      <c r="J488">
        <f t="shared" si="29"/>
        <v>8.6380591500300006E-3</v>
      </c>
      <c r="K488">
        <f t="shared" si="30"/>
        <v>-1.67269444997E-3</v>
      </c>
    </row>
    <row r="489" spans="1:11" x14ac:dyDescent="0.35">
      <c r="A489" t="s">
        <v>148</v>
      </c>
      <c r="B489">
        <v>71298</v>
      </c>
      <c r="C489">
        <v>-8.5253999999999996E-2</v>
      </c>
      <c r="D489" s="5">
        <v>-1.3888861999999999E-7</v>
      </c>
      <c r="E489">
        <v>1.0356373E-2</v>
      </c>
      <c r="F489">
        <v>5.5519999999999996E-3</v>
      </c>
      <c r="G489" t="s">
        <v>205</v>
      </c>
      <c r="I489">
        <f t="shared" si="28"/>
        <v>-8.5253861111380003E-2</v>
      </c>
      <c r="J489">
        <f t="shared" si="29"/>
        <v>1.0356511888620001E-2</v>
      </c>
      <c r="K489">
        <f t="shared" si="30"/>
        <v>5.5521388886199995E-3</v>
      </c>
    </row>
    <row r="490" spans="1:11" x14ac:dyDescent="0.35">
      <c r="A490" t="s">
        <v>149</v>
      </c>
      <c r="B490">
        <v>71298</v>
      </c>
      <c r="C490">
        <v>-0.10118000000000001</v>
      </c>
      <c r="D490" s="5">
        <v>2.7777881000000001E-7</v>
      </c>
      <c r="E490">
        <v>-1.9239652999999999E-2</v>
      </c>
      <c r="F490">
        <v>-1.5162E-2</v>
      </c>
      <c r="G490" t="s">
        <v>205</v>
      </c>
      <c r="I490">
        <f t="shared" si="28"/>
        <v>-0.10118027777881</v>
      </c>
      <c r="J490">
        <f t="shared" si="29"/>
        <v>-1.9239930778809998E-2</v>
      </c>
      <c r="K490">
        <f t="shared" si="30"/>
        <v>-1.5162277778810001E-2</v>
      </c>
    </row>
    <row r="491" spans="1:11" x14ac:dyDescent="0.35">
      <c r="A491" t="s">
        <v>150</v>
      </c>
      <c r="B491">
        <v>71298</v>
      </c>
      <c r="C491">
        <v>-0.33771099999999998</v>
      </c>
      <c r="D491" s="5">
        <v>1.3888911E-7</v>
      </c>
      <c r="E491">
        <v>1.2304676000000001E-2</v>
      </c>
      <c r="F491">
        <v>-6.6210000000000005E-2</v>
      </c>
      <c r="G491" t="s">
        <v>205</v>
      </c>
      <c r="I491">
        <f t="shared" si="28"/>
        <v>-0.33771113888910997</v>
      </c>
      <c r="J491">
        <f t="shared" si="29"/>
        <v>1.2304537110890001E-2</v>
      </c>
      <c r="K491">
        <f t="shared" si="30"/>
        <v>-6.621013888911001E-2</v>
      </c>
    </row>
    <row r="492" spans="1:11" x14ac:dyDescent="0.35">
      <c r="A492" t="s">
        <v>151</v>
      </c>
      <c r="B492">
        <v>71298</v>
      </c>
      <c r="C492">
        <v>-1.2748000000000001E-2</v>
      </c>
      <c r="D492" s="5">
        <v>8.3334270999999995E-7</v>
      </c>
      <c r="E492">
        <v>-6.0059883000000001E-2</v>
      </c>
      <c r="F492">
        <v>3.7072000000000001E-2</v>
      </c>
      <c r="G492" t="s">
        <v>205</v>
      </c>
      <c r="I492">
        <f t="shared" si="28"/>
        <v>-1.274883334271E-2</v>
      </c>
      <c r="J492">
        <f t="shared" si="29"/>
        <v>-6.0060716342709999E-2</v>
      </c>
      <c r="K492">
        <f t="shared" si="30"/>
        <v>3.7071166657290003E-2</v>
      </c>
    </row>
    <row r="493" spans="1:11" x14ac:dyDescent="0.35">
      <c r="A493" t="s">
        <v>152</v>
      </c>
      <c r="B493">
        <v>71298</v>
      </c>
      <c r="C493">
        <v>-8.4891999999999995E-2</v>
      </c>
      <c r="D493" s="5">
        <v>2.7777869999999999E-7</v>
      </c>
      <c r="E493">
        <v>-3.3820637000000001E-2</v>
      </c>
      <c r="F493">
        <v>-1.8010999999999999E-2</v>
      </c>
      <c r="G493" t="s">
        <v>205</v>
      </c>
      <c r="I493">
        <f t="shared" si="28"/>
        <v>-8.4892277778699995E-2</v>
      </c>
      <c r="J493">
        <f t="shared" si="29"/>
        <v>-3.3820914778700001E-2</v>
      </c>
      <c r="K493">
        <f t="shared" si="30"/>
        <v>-1.8011277778699999E-2</v>
      </c>
    </row>
    <row r="494" spans="1:11" x14ac:dyDescent="0.35">
      <c r="A494" t="s">
        <v>153</v>
      </c>
      <c r="B494">
        <v>71298</v>
      </c>
      <c r="C494">
        <v>0.209119</v>
      </c>
      <c r="D494" s="5">
        <v>-2.7777693000000002E-7</v>
      </c>
      <c r="E494">
        <v>7.4186891000000005E-2</v>
      </c>
      <c r="F494">
        <v>2.2834E-2</v>
      </c>
      <c r="G494" t="s">
        <v>205</v>
      </c>
      <c r="I494">
        <f t="shared" si="28"/>
        <v>0.20911927777693001</v>
      </c>
      <c r="J494">
        <f t="shared" si="29"/>
        <v>7.4187168776930004E-2</v>
      </c>
      <c r="K494">
        <f t="shared" si="30"/>
        <v>2.283427777693E-2</v>
      </c>
    </row>
    <row r="495" spans="1:11" x14ac:dyDescent="0.35">
      <c r="A495" t="s">
        <v>154</v>
      </c>
      <c r="B495">
        <v>71298</v>
      </c>
      <c r="C495">
        <v>-4.2913E-2</v>
      </c>
      <c r="D495" s="5">
        <v>2.7777887000000002E-7</v>
      </c>
      <c r="E495">
        <v>6.7570386000000001E-3</v>
      </c>
      <c r="F495">
        <v>-6.7520999999999998E-2</v>
      </c>
      <c r="G495" t="s">
        <v>205</v>
      </c>
      <c r="I495">
        <f t="shared" si="28"/>
        <v>-4.2913277778870003E-2</v>
      </c>
      <c r="J495">
        <f t="shared" si="29"/>
        <v>6.7567608211300005E-3</v>
      </c>
      <c r="K495">
        <f t="shared" si="30"/>
        <v>-6.7521277778870001E-2</v>
      </c>
    </row>
    <row r="496" spans="1:11" x14ac:dyDescent="0.35">
      <c r="A496" t="s">
        <v>155</v>
      </c>
      <c r="B496">
        <v>71298</v>
      </c>
      <c r="C496">
        <v>5.45E-3</v>
      </c>
      <c r="D496" s="5">
        <v>2.7778703E-6</v>
      </c>
      <c r="E496">
        <v>-2.2346674E-2</v>
      </c>
      <c r="F496">
        <v>-4.5129999999999997E-3</v>
      </c>
      <c r="G496" t="s">
        <v>205</v>
      </c>
      <c r="I496">
        <f t="shared" si="28"/>
        <v>5.4472221296999997E-3</v>
      </c>
      <c r="J496">
        <f t="shared" si="29"/>
        <v>-2.2349451870300002E-2</v>
      </c>
      <c r="K496">
        <f t="shared" si="30"/>
        <v>-4.5157778702999999E-3</v>
      </c>
    </row>
    <row r="497" spans="1:11" x14ac:dyDescent="0.35">
      <c r="A497" t="s">
        <v>156</v>
      </c>
      <c r="B497">
        <v>71298</v>
      </c>
      <c r="C497">
        <v>0.34281800000000001</v>
      </c>
      <c r="D497" s="5">
        <v>3.8891008000000001E-6</v>
      </c>
      <c r="E497">
        <v>-5.6998282999999997E-2</v>
      </c>
      <c r="F497">
        <v>5.4101999999999997E-2</v>
      </c>
      <c r="G497" t="s">
        <v>205</v>
      </c>
      <c r="I497">
        <f t="shared" si="28"/>
        <v>0.3428141108992</v>
      </c>
      <c r="J497">
        <f t="shared" si="29"/>
        <v>-5.7002172100799997E-2</v>
      </c>
      <c r="K497">
        <f t="shared" si="30"/>
        <v>5.4098110899199997E-2</v>
      </c>
    </row>
    <row r="498" spans="1:11" x14ac:dyDescent="0.35">
      <c r="A498" t="s">
        <v>157</v>
      </c>
      <c r="B498">
        <v>71298</v>
      </c>
      <c r="C498">
        <v>0.40363300000000002</v>
      </c>
      <c r="D498" s="5">
        <v>6.2505273000000001E-6</v>
      </c>
      <c r="E498">
        <v>6.8726775000000002E-4</v>
      </c>
      <c r="F498">
        <v>0.10931200000000001</v>
      </c>
      <c r="G498" t="s">
        <v>205</v>
      </c>
      <c r="I498">
        <f t="shared" si="28"/>
        <v>0.4036267494727</v>
      </c>
      <c r="J498">
        <f t="shared" si="29"/>
        <v>6.8101722270000006E-4</v>
      </c>
      <c r="K498">
        <f t="shared" si="30"/>
        <v>0.10930574947270001</v>
      </c>
    </row>
    <row r="499" spans="1:11" x14ac:dyDescent="0.35">
      <c r="A499" t="s">
        <v>158</v>
      </c>
      <c r="B499">
        <v>71298</v>
      </c>
      <c r="C499">
        <v>-2.2318000000000001E-2</v>
      </c>
      <c r="D499" s="5">
        <v>6.2504687000000001E-6</v>
      </c>
      <c r="E499">
        <v>7.0505328000000006E-2</v>
      </c>
      <c r="F499">
        <v>-8.4290000000000007E-3</v>
      </c>
      <c r="G499" t="s">
        <v>205</v>
      </c>
      <c r="I499">
        <f t="shared" si="28"/>
        <v>-2.2324250468700003E-2</v>
      </c>
      <c r="J499">
        <f t="shared" si="29"/>
        <v>7.0499077531300011E-2</v>
      </c>
      <c r="K499">
        <f t="shared" si="30"/>
        <v>-8.4352504687000007E-3</v>
      </c>
    </row>
    <row r="500" spans="1:11" x14ac:dyDescent="0.35">
      <c r="A500" t="s">
        <v>159</v>
      </c>
      <c r="B500">
        <v>71298</v>
      </c>
      <c r="C500">
        <v>0.42636200000000002</v>
      </c>
      <c r="D500" s="5">
        <v>4.7225344000000004E-6</v>
      </c>
      <c r="E500">
        <v>1.1831184E-2</v>
      </c>
      <c r="F500">
        <v>5.1088000000000001E-2</v>
      </c>
      <c r="G500" t="s">
        <v>205</v>
      </c>
      <c r="I500">
        <f t="shared" si="28"/>
        <v>0.42635727746560004</v>
      </c>
      <c r="J500">
        <f t="shared" si="29"/>
        <v>1.1826461465599999E-2</v>
      </c>
      <c r="K500">
        <f t="shared" si="30"/>
        <v>5.1083277465599999E-2</v>
      </c>
    </row>
    <row r="501" spans="1:11" x14ac:dyDescent="0.35">
      <c r="A501" t="s">
        <v>160</v>
      </c>
      <c r="B501">
        <v>71298</v>
      </c>
      <c r="C501">
        <v>-0.13319600000000001</v>
      </c>
      <c r="D501" s="5">
        <v>4.3058058000000002E-6</v>
      </c>
      <c r="E501">
        <v>1.4391575E-2</v>
      </c>
      <c r="F501">
        <v>-6.1383E-2</v>
      </c>
      <c r="G501" t="s">
        <v>205</v>
      </c>
      <c r="I501">
        <f t="shared" si="28"/>
        <v>-0.1332003058058</v>
      </c>
      <c r="J501">
        <f t="shared" si="29"/>
        <v>1.4387269194200001E-2</v>
      </c>
      <c r="K501">
        <f t="shared" si="30"/>
        <v>-6.1387305805799999E-2</v>
      </c>
    </row>
    <row r="502" spans="1:11" x14ac:dyDescent="0.35">
      <c r="A502" t="s">
        <v>161</v>
      </c>
      <c r="B502">
        <v>71298</v>
      </c>
      <c r="C502">
        <v>0.27310699999999999</v>
      </c>
      <c r="D502" s="5">
        <v>5.0002877000000001E-6</v>
      </c>
      <c r="E502">
        <v>3.1732204000000002E-3</v>
      </c>
      <c r="F502">
        <v>8.9694999999999997E-2</v>
      </c>
      <c r="G502" t="s">
        <v>205</v>
      </c>
      <c r="I502">
        <f t="shared" si="28"/>
        <v>0.27310199971229998</v>
      </c>
      <c r="J502">
        <f t="shared" si="29"/>
        <v>3.1682201123000003E-3</v>
      </c>
      <c r="K502">
        <f t="shared" si="30"/>
        <v>8.9689999712300003E-2</v>
      </c>
    </row>
    <row r="503" spans="1:11" x14ac:dyDescent="0.35">
      <c r="A503" t="s">
        <v>162</v>
      </c>
      <c r="B503">
        <v>71298</v>
      </c>
      <c r="C503">
        <v>2.3888E-2</v>
      </c>
      <c r="D503" s="5">
        <v>5.1392584999999999E-6</v>
      </c>
      <c r="E503">
        <v>3.8786817000000001E-2</v>
      </c>
      <c r="F503">
        <v>1.9847E-2</v>
      </c>
      <c r="G503" t="s">
        <v>205</v>
      </c>
      <c r="I503">
        <f t="shared" si="28"/>
        <v>2.3882860741499999E-2</v>
      </c>
      <c r="J503">
        <f t="shared" si="29"/>
        <v>3.8781677741500001E-2</v>
      </c>
      <c r="K503">
        <f t="shared" si="30"/>
        <v>1.98418607415E-2</v>
      </c>
    </row>
    <row r="504" spans="1:11" x14ac:dyDescent="0.35">
      <c r="A504" t="s">
        <v>163</v>
      </c>
      <c r="B504">
        <v>71298</v>
      </c>
      <c r="C504">
        <v>-0.22095200000000001</v>
      </c>
      <c r="D504" s="5">
        <v>5.0003378000000001E-6</v>
      </c>
      <c r="E504">
        <v>2.7987469999999999E-3</v>
      </c>
      <c r="F504">
        <v>-3.2563000000000002E-2</v>
      </c>
      <c r="G504" t="s">
        <v>205</v>
      </c>
      <c r="I504">
        <f t="shared" si="28"/>
        <v>-0.2209570003378</v>
      </c>
      <c r="J504">
        <f t="shared" si="29"/>
        <v>2.7937466621999999E-3</v>
      </c>
      <c r="K504">
        <f t="shared" si="30"/>
        <v>-3.2568000337800003E-2</v>
      </c>
    </row>
    <row r="505" spans="1:11" x14ac:dyDescent="0.35">
      <c r="A505" t="s">
        <v>164</v>
      </c>
      <c r="B505">
        <v>71298</v>
      </c>
      <c r="C505">
        <v>4.1739999999999999E-2</v>
      </c>
      <c r="D505" s="5">
        <v>6.8060649000000001E-6</v>
      </c>
      <c r="E505">
        <v>3.0445021000000002E-3</v>
      </c>
      <c r="F505">
        <v>6.8919999999999997E-3</v>
      </c>
      <c r="G505" t="s">
        <v>205</v>
      </c>
      <c r="I505">
        <f t="shared" si="28"/>
        <v>4.1733193935099999E-2</v>
      </c>
      <c r="J505">
        <f t="shared" si="29"/>
        <v>3.0376960351E-3</v>
      </c>
      <c r="K505">
        <f t="shared" si="30"/>
        <v>6.8851939350999996E-3</v>
      </c>
    </row>
    <row r="506" spans="1:11" x14ac:dyDescent="0.35">
      <c r="A506" t="s">
        <v>165</v>
      </c>
      <c r="B506">
        <v>71298</v>
      </c>
      <c r="C506">
        <v>-7.3359999999999996E-3</v>
      </c>
      <c r="D506" s="5">
        <v>5.5559721999999998E-6</v>
      </c>
      <c r="E506">
        <v>-2.7060966999999998E-2</v>
      </c>
      <c r="F506">
        <v>-2.9448999999999999E-2</v>
      </c>
      <c r="G506" t="s">
        <v>205</v>
      </c>
      <c r="I506">
        <f t="shared" ref="I506:I570" si="31">C506-D506</f>
        <v>-7.3415559721999998E-3</v>
      </c>
      <c r="J506">
        <f t="shared" ref="J506:J570" si="32">E506-D506</f>
        <v>-2.7066522972199997E-2</v>
      </c>
      <c r="K506">
        <f t="shared" ref="K506:K570" si="33">F506-D506</f>
        <v>-2.9454555972199998E-2</v>
      </c>
    </row>
    <row r="507" spans="1:11" x14ac:dyDescent="0.35">
      <c r="A507" t="s">
        <v>166</v>
      </c>
      <c r="B507">
        <v>71298</v>
      </c>
      <c r="C507">
        <v>-0.14496899999999999</v>
      </c>
      <c r="D507" s="5">
        <v>5.0003127000000001E-6</v>
      </c>
      <c r="E507">
        <v>4.0418684000000003E-2</v>
      </c>
      <c r="F507">
        <v>-8.3566000000000001E-2</v>
      </c>
      <c r="G507" t="s">
        <v>205</v>
      </c>
      <c r="I507">
        <f t="shared" si="31"/>
        <v>-0.1449740003127</v>
      </c>
      <c r="J507">
        <f t="shared" si="32"/>
        <v>4.04136836873E-2</v>
      </c>
      <c r="K507">
        <f t="shared" si="33"/>
        <v>-8.3571000312699997E-2</v>
      </c>
    </row>
    <row r="508" spans="1:11" x14ac:dyDescent="0.35">
      <c r="A508" t="s">
        <v>167</v>
      </c>
      <c r="B508">
        <v>71298</v>
      </c>
      <c r="C508">
        <v>6.3915E-2</v>
      </c>
      <c r="D508" s="5">
        <v>6.9449747999999996E-6</v>
      </c>
      <c r="E508">
        <v>1.8747913000000001E-2</v>
      </c>
      <c r="F508">
        <v>-1.915E-2</v>
      </c>
      <c r="G508" t="s">
        <v>205</v>
      </c>
      <c r="I508">
        <f t="shared" si="31"/>
        <v>6.39080550252E-2</v>
      </c>
      <c r="J508">
        <f t="shared" si="32"/>
        <v>1.8740968025200002E-2</v>
      </c>
      <c r="K508">
        <f t="shared" si="33"/>
        <v>-1.91569449748E-2</v>
      </c>
    </row>
    <row r="509" spans="1:11" x14ac:dyDescent="0.35">
      <c r="A509" t="s">
        <v>168</v>
      </c>
      <c r="B509">
        <v>71298</v>
      </c>
      <c r="C509">
        <v>0.153942</v>
      </c>
      <c r="D509" s="5">
        <v>1.2502110000000001E-5</v>
      </c>
      <c r="E509">
        <v>2.2173285000000001E-2</v>
      </c>
      <c r="F509">
        <v>5.4191999999999997E-2</v>
      </c>
      <c r="G509" t="s">
        <v>205</v>
      </c>
      <c r="I509">
        <f t="shared" si="31"/>
        <v>0.15392949788999999</v>
      </c>
      <c r="J509">
        <f t="shared" si="32"/>
        <v>2.2160782890000001E-2</v>
      </c>
      <c r="K509">
        <f t="shared" si="33"/>
        <v>5.4179497889999997E-2</v>
      </c>
    </row>
    <row r="510" spans="1:11" x14ac:dyDescent="0.35">
      <c r="A510" t="s">
        <v>169</v>
      </c>
      <c r="B510">
        <v>71298</v>
      </c>
      <c r="C510">
        <v>9.2189999999999998E-3</v>
      </c>
      <c r="D510" s="5">
        <v>1.3057516E-5</v>
      </c>
      <c r="E510">
        <v>3.2628167E-2</v>
      </c>
      <c r="F510">
        <v>3.1848000000000001E-2</v>
      </c>
      <c r="G510" t="s">
        <v>205</v>
      </c>
      <c r="I510">
        <f t="shared" si="31"/>
        <v>9.2059424839999997E-3</v>
      </c>
      <c r="J510">
        <f t="shared" si="32"/>
        <v>3.2615109484000003E-2</v>
      </c>
      <c r="K510">
        <f t="shared" si="33"/>
        <v>3.1834942484000005E-2</v>
      </c>
    </row>
    <row r="511" spans="1:11" x14ac:dyDescent="0.35">
      <c r="A511" t="s">
        <v>170</v>
      </c>
      <c r="B511">
        <v>71298</v>
      </c>
      <c r="C511">
        <v>2.2067E-2</v>
      </c>
      <c r="D511" s="5">
        <v>1.2223941E-5</v>
      </c>
      <c r="E511">
        <v>2.0500966000000002E-3</v>
      </c>
      <c r="F511">
        <v>-4.2770000000000004E-3</v>
      </c>
      <c r="G511" t="s">
        <v>205</v>
      </c>
      <c r="I511">
        <f t="shared" si="31"/>
        <v>2.2054776059000001E-2</v>
      </c>
      <c r="J511">
        <f t="shared" si="32"/>
        <v>2.037872659E-3</v>
      </c>
      <c r="K511">
        <f t="shared" si="33"/>
        <v>-4.2892239410000001E-3</v>
      </c>
    </row>
    <row r="512" spans="1:11" x14ac:dyDescent="0.35">
      <c r="A512" t="s">
        <v>171</v>
      </c>
      <c r="B512">
        <v>71298</v>
      </c>
      <c r="C512">
        <v>-0.119537</v>
      </c>
      <c r="D512" s="5">
        <v>2.0088781000000001E-5</v>
      </c>
      <c r="E512">
        <v>9.6190701999999996E-3</v>
      </c>
      <c r="F512">
        <v>1.7267000000000001E-2</v>
      </c>
      <c r="G512" t="s">
        <v>205</v>
      </c>
      <c r="I512">
        <f t="shared" si="31"/>
        <v>-0.11955708878100001</v>
      </c>
      <c r="J512">
        <f t="shared" si="32"/>
        <v>9.5989814189999991E-3</v>
      </c>
      <c r="K512">
        <f t="shared" si="33"/>
        <v>1.7246911219000002E-2</v>
      </c>
    </row>
    <row r="513" spans="1:11" x14ac:dyDescent="0.35">
      <c r="A513" t="s">
        <v>172</v>
      </c>
      <c r="B513">
        <v>71298</v>
      </c>
      <c r="C513">
        <v>-8.9709999999999998E-3</v>
      </c>
      <c r="D513" s="5">
        <v>1.8337871999999999E-5</v>
      </c>
      <c r="E513">
        <v>9.3579440999999996E-3</v>
      </c>
      <c r="F513">
        <v>-1.242E-3</v>
      </c>
      <c r="G513" t="s">
        <v>205</v>
      </c>
      <c r="I513">
        <f t="shared" si="31"/>
        <v>-8.989337872E-3</v>
      </c>
      <c r="J513">
        <f t="shared" si="32"/>
        <v>9.3396062279999994E-3</v>
      </c>
      <c r="K513">
        <f t="shared" si="33"/>
        <v>-1.260337872E-3</v>
      </c>
    </row>
    <row r="514" spans="1:11" x14ac:dyDescent="0.35">
      <c r="A514" t="s">
        <v>173</v>
      </c>
      <c r="B514">
        <v>71298</v>
      </c>
      <c r="C514">
        <v>-3.8089999999999999E-2</v>
      </c>
      <c r="D514" s="5">
        <v>2.0282302999999999E-5</v>
      </c>
      <c r="E514">
        <v>9.6782167000000006E-3</v>
      </c>
      <c r="F514">
        <v>-2.1555000000000001E-2</v>
      </c>
      <c r="G514" t="s">
        <v>205</v>
      </c>
      <c r="I514">
        <f t="shared" si="31"/>
        <v>-3.8110282302999995E-2</v>
      </c>
      <c r="J514">
        <f t="shared" si="32"/>
        <v>9.6579343970000005E-3</v>
      </c>
      <c r="K514">
        <f t="shared" si="33"/>
        <v>-2.1575282303000001E-2</v>
      </c>
    </row>
    <row r="515" spans="1:11" x14ac:dyDescent="0.35">
      <c r="A515" t="s">
        <v>174</v>
      </c>
      <c r="B515">
        <v>71298</v>
      </c>
      <c r="C515">
        <v>6.2853999999999993E-2</v>
      </c>
      <c r="D515" s="5">
        <v>2.2784785000000001E-5</v>
      </c>
      <c r="E515">
        <v>1.7181420999999999E-2</v>
      </c>
      <c r="F515">
        <v>2.3132E-2</v>
      </c>
      <c r="G515" t="s">
        <v>205</v>
      </c>
      <c r="I515">
        <f t="shared" si="31"/>
        <v>6.2831215215E-2</v>
      </c>
      <c r="J515">
        <f t="shared" si="32"/>
        <v>1.7158636214999998E-2</v>
      </c>
      <c r="K515">
        <f t="shared" si="33"/>
        <v>2.3109215214999999E-2</v>
      </c>
    </row>
    <row r="516" spans="1:11" x14ac:dyDescent="0.35">
      <c r="A516" t="s">
        <v>175</v>
      </c>
      <c r="B516">
        <v>71298</v>
      </c>
      <c r="C516">
        <v>6.5642000000000006E-2</v>
      </c>
      <c r="D516" s="5">
        <v>2.6814181E-5</v>
      </c>
      <c r="E516">
        <v>1.6129673E-3</v>
      </c>
      <c r="F516">
        <v>4.1987999999999998E-2</v>
      </c>
      <c r="G516" t="s">
        <v>205</v>
      </c>
      <c r="I516">
        <f t="shared" si="31"/>
        <v>6.5615185818999999E-2</v>
      </c>
      <c r="J516">
        <f t="shared" si="32"/>
        <v>1.586153119E-3</v>
      </c>
      <c r="K516">
        <f t="shared" si="33"/>
        <v>4.1961185818999998E-2</v>
      </c>
    </row>
    <row r="517" spans="1:11" x14ac:dyDescent="0.35">
      <c r="A517" t="s">
        <v>176</v>
      </c>
      <c r="B517">
        <v>71298</v>
      </c>
      <c r="C517">
        <v>-0.105614</v>
      </c>
      <c r="D517" s="5">
        <v>2.4980956E-5</v>
      </c>
      <c r="E517">
        <v>2.3813292E-2</v>
      </c>
      <c r="F517">
        <v>-3.3699E-2</v>
      </c>
      <c r="G517" t="s">
        <v>205</v>
      </c>
      <c r="I517">
        <f t="shared" si="31"/>
        <v>-0.10563898095599999</v>
      </c>
      <c r="J517">
        <f t="shared" si="32"/>
        <v>2.3788311044000001E-2</v>
      </c>
      <c r="K517">
        <f t="shared" si="33"/>
        <v>-3.3723980956000002E-2</v>
      </c>
    </row>
    <row r="518" spans="1:11" x14ac:dyDescent="0.35">
      <c r="A518" t="s">
        <v>177</v>
      </c>
      <c r="B518">
        <v>71298</v>
      </c>
      <c r="C518">
        <v>-0.101927</v>
      </c>
      <c r="D518" s="5">
        <v>2.6120319999999999E-5</v>
      </c>
      <c r="E518">
        <v>2.134813E-2</v>
      </c>
      <c r="F518">
        <v>-7.4850000000000003E-3</v>
      </c>
      <c r="G518" t="s">
        <v>205</v>
      </c>
      <c r="I518">
        <f t="shared" si="31"/>
        <v>-0.10195312032000001</v>
      </c>
      <c r="J518">
        <f t="shared" si="32"/>
        <v>2.132200968E-2</v>
      </c>
      <c r="K518">
        <f t="shared" si="33"/>
        <v>-7.5111203200000001E-3</v>
      </c>
    </row>
    <row r="519" spans="1:11" x14ac:dyDescent="0.35">
      <c r="A519" t="s">
        <v>178</v>
      </c>
      <c r="B519">
        <v>71298</v>
      </c>
      <c r="C519">
        <v>-4.4290999999999997E-2</v>
      </c>
      <c r="D519" s="5">
        <v>2.6814181E-5</v>
      </c>
      <c r="E519">
        <v>2.7409703000000001E-2</v>
      </c>
      <c r="F519">
        <v>3.5630000000000002E-3</v>
      </c>
      <c r="G519" t="s">
        <v>205</v>
      </c>
      <c r="I519">
        <f t="shared" si="31"/>
        <v>-4.4317814180999997E-2</v>
      </c>
      <c r="J519">
        <f t="shared" si="32"/>
        <v>2.7382888819000001E-2</v>
      </c>
      <c r="K519">
        <f t="shared" si="33"/>
        <v>3.536185819E-3</v>
      </c>
    </row>
    <row r="520" spans="1:11" x14ac:dyDescent="0.35">
      <c r="A520" t="s">
        <v>179</v>
      </c>
      <c r="B520">
        <v>71298</v>
      </c>
      <c r="C520">
        <v>5.0072999999999999E-2</v>
      </c>
      <c r="D520" s="5">
        <v>3.0985658999999998E-5</v>
      </c>
      <c r="E520">
        <v>1.2286760000000001E-2</v>
      </c>
      <c r="F520">
        <v>2.1056999999999999E-2</v>
      </c>
      <c r="G520" t="s">
        <v>205</v>
      </c>
      <c r="I520">
        <f t="shared" si="31"/>
        <v>5.0042014341000002E-2</v>
      </c>
      <c r="J520">
        <f t="shared" si="32"/>
        <v>1.2255774341000001E-2</v>
      </c>
      <c r="K520">
        <f t="shared" si="33"/>
        <v>2.1026014340999998E-2</v>
      </c>
    </row>
    <row r="521" spans="1:11" x14ac:dyDescent="0.35">
      <c r="A521" t="s">
        <v>180</v>
      </c>
      <c r="B521">
        <v>71298</v>
      </c>
      <c r="C521">
        <v>-6.2199999999999998E-3</v>
      </c>
      <c r="D521" s="5">
        <v>3.4738506999999999E-5</v>
      </c>
      <c r="E521">
        <v>5.0687826999999998E-2</v>
      </c>
      <c r="F521">
        <v>3.2349000000000003E-2</v>
      </c>
      <c r="G521" t="s">
        <v>205</v>
      </c>
      <c r="I521">
        <f t="shared" si="31"/>
        <v>-6.2547385069999994E-3</v>
      </c>
      <c r="J521">
        <f t="shared" si="32"/>
        <v>5.0653088493000001E-2</v>
      </c>
      <c r="K521">
        <f t="shared" si="33"/>
        <v>3.2314261493000006E-2</v>
      </c>
    </row>
    <row r="522" spans="1:11" x14ac:dyDescent="0.35">
      <c r="A522" t="s">
        <v>181</v>
      </c>
      <c r="B522">
        <v>71298</v>
      </c>
      <c r="C522">
        <v>-0.196801</v>
      </c>
      <c r="D522" s="5">
        <v>3.2789600999999998E-5</v>
      </c>
      <c r="E522">
        <v>-3.9435158999999997E-2</v>
      </c>
      <c r="F522">
        <v>-2.0760000000000001E-2</v>
      </c>
      <c r="G522" t="s">
        <v>205</v>
      </c>
      <c r="I522">
        <f t="shared" si="31"/>
        <v>-0.19683378960100001</v>
      </c>
      <c r="J522">
        <f t="shared" si="32"/>
        <v>-3.9467948600999996E-2</v>
      </c>
      <c r="K522">
        <f t="shared" si="33"/>
        <v>-2.0792789601000002E-2</v>
      </c>
    </row>
    <row r="523" spans="1:11" x14ac:dyDescent="0.35">
      <c r="A523" t="s">
        <v>182</v>
      </c>
      <c r="B523">
        <v>71298</v>
      </c>
      <c r="C523">
        <v>8.0728999999999995E-2</v>
      </c>
      <c r="D523" s="5">
        <v>3.7376473999999999E-5</v>
      </c>
      <c r="E523">
        <v>-1.8494523999999998E-2</v>
      </c>
      <c r="F523">
        <v>6.3200000000000001E-3</v>
      </c>
      <c r="G523" t="s">
        <v>205</v>
      </c>
      <c r="I523">
        <f t="shared" si="31"/>
        <v>8.0691623525999998E-2</v>
      </c>
      <c r="J523">
        <f t="shared" si="32"/>
        <v>-1.8531900473999999E-2</v>
      </c>
      <c r="K523">
        <f t="shared" si="33"/>
        <v>6.2826235259999998E-3</v>
      </c>
    </row>
    <row r="524" spans="1:11" x14ac:dyDescent="0.35">
      <c r="A524" t="s">
        <v>183</v>
      </c>
      <c r="B524">
        <v>71298</v>
      </c>
      <c r="C524">
        <v>8.1928000000000001E-2</v>
      </c>
      <c r="D524" s="5">
        <v>4.4472123E-5</v>
      </c>
      <c r="E524">
        <v>4.8402747999999997E-3</v>
      </c>
      <c r="F524">
        <v>-9.5399999999999999E-3</v>
      </c>
      <c r="G524" t="s">
        <v>205</v>
      </c>
      <c r="I524">
        <f t="shared" si="31"/>
        <v>8.1883527876999998E-2</v>
      </c>
      <c r="J524">
        <f t="shared" si="32"/>
        <v>4.7958026769999995E-3</v>
      </c>
      <c r="K524">
        <f t="shared" si="33"/>
        <v>-9.5844721229999992E-3</v>
      </c>
    </row>
    <row r="525" spans="1:11" x14ac:dyDescent="0.35">
      <c r="A525" t="s">
        <v>184</v>
      </c>
      <c r="B525">
        <v>71298</v>
      </c>
      <c r="C525">
        <v>-1.856E-2</v>
      </c>
      <c r="D525" s="5">
        <v>4.5024317000000002E-5</v>
      </c>
      <c r="E525">
        <v>2.6277516000000001E-2</v>
      </c>
      <c r="F525">
        <v>-1.1958999999999999E-2</v>
      </c>
      <c r="G525" t="s">
        <v>205</v>
      </c>
      <c r="I525">
        <f t="shared" si="31"/>
        <v>-1.8605024317E-2</v>
      </c>
      <c r="J525">
        <f t="shared" si="32"/>
        <v>2.6232491683E-2</v>
      </c>
      <c r="K525">
        <f t="shared" si="33"/>
        <v>-1.2004024316999999E-2</v>
      </c>
    </row>
    <row r="526" spans="1:11" x14ac:dyDescent="0.35">
      <c r="A526" t="s">
        <v>185</v>
      </c>
      <c r="B526">
        <v>71298</v>
      </c>
      <c r="C526">
        <v>-4.5490000000000001E-3</v>
      </c>
      <c r="D526" s="5">
        <v>4.7670687999999998E-5</v>
      </c>
      <c r="E526">
        <v>5.2912380000000002E-3</v>
      </c>
      <c r="F526">
        <v>-3.6149000000000001E-2</v>
      </c>
      <c r="G526" t="s">
        <v>205</v>
      </c>
      <c r="I526">
        <f t="shared" si="31"/>
        <v>-4.5966706880000005E-3</v>
      </c>
      <c r="J526">
        <f t="shared" si="32"/>
        <v>5.2435673119999998E-3</v>
      </c>
      <c r="K526">
        <f t="shared" si="33"/>
        <v>-3.6196670687999997E-2</v>
      </c>
    </row>
    <row r="527" spans="1:11" x14ac:dyDescent="0.35">
      <c r="A527" t="s">
        <v>186</v>
      </c>
      <c r="B527">
        <v>71298</v>
      </c>
      <c r="C527">
        <v>-0.147753</v>
      </c>
      <c r="D527" s="5">
        <v>4.8086759999999999E-5</v>
      </c>
      <c r="E527">
        <v>3.1689063000000003E-2</v>
      </c>
      <c r="F527">
        <v>-2.2419000000000001E-2</v>
      </c>
      <c r="G527" t="s">
        <v>205</v>
      </c>
      <c r="I527">
        <f t="shared" si="31"/>
        <v>-0.14780108676000001</v>
      </c>
      <c r="J527">
        <f t="shared" si="32"/>
        <v>3.164097624E-2</v>
      </c>
      <c r="K527">
        <f t="shared" si="33"/>
        <v>-2.2467086760000001E-2</v>
      </c>
    </row>
    <row r="528" spans="1:11" x14ac:dyDescent="0.35">
      <c r="A528" t="s">
        <v>187</v>
      </c>
      <c r="B528">
        <v>71298</v>
      </c>
      <c r="C528">
        <v>-6.6129999999999994E-2</v>
      </c>
      <c r="D528" s="5">
        <v>5.1975497999999999E-5</v>
      </c>
      <c r="E528">
        <v>3.0351875E-2</v>
      </c>
      <c r="F528">
        <v>-2.1381000000000001E-2</v>
      </c>
      <c r="G528" t="s">
        <v>205</v>
      </c>
      <c r="I528">
        <f t="shared" si="31"/>
        <v>-6.6181975497999992E-2</v>
      </c>
      <c r="J528">
        <f t="shared" si="32"/>
        <v>3.0299899501999999E-2</v>
      </c>
      <c r="K528">
        <f t="shared" si="33"/>
        <v>-2.1432975498000002E-2</v>
      </c>
    </row>
    <row r="529" spans="1:11" x14ac:dyDescent="0.35">
      <c r="A529" t="s">
        <v>188</v>
      </c>
      <c r="B529">
        <v>71298</v>
      </c>
      <c r="C529">
        <v>6.3339999999999994E-2</v>
      </c>
      <c r="D529" s="5">
        <v>5.2954507000000002E-5</v>
      </c>
      <c r="E529">
        <v>4.7995379999999998E-4</v>
      </c>
      <c r="F529">
        <v>-6.607E-3</v>
      </c>
      <c r="G529" t="s">
        <v>205</v>
      </c>
      <c r="I529">
        <f t="shared" si="31"/>
        <v>6.3287045492999988E-2</v>
      </c>
      <c r="J529">
        <f t="shared" si="32"/>
        <v>4.2699929299999998E-4</v>
      </c>
      <c r="K529">
        <f t="shared" si="33"/>
        <v>-6.6599545070000002E-3</v>
      </c>
    </row>
    <row r="530" spans="1:11" x14ac:dyDescent="0.35">
      <c r="A530" t="s">
        <v>189</v>
      </c>
      <c r="B530">
        <v>71298</v>
      </c>
      <c r="C530">
        <v>0.13267200000000001</v>
      </c>
      <c r="D530" s="5">
        <v>5.7961999000000002E-5</v>
      </c>
      <c r="E530">
        <v>-7.2749645000000002E-2</v>
      </c>
      <c r="F530">
        <v>2.1194999999999999E-2</v>
      </c>
      <c r="G530" t="s">
        <v>205</v>
      </c>
      <c r="I530">
        <f t="shared" si="31"/>
        <v>0.13261403800100002</v>
      </c>
      <c r="J530">
        <f t="shared" si="32"/>
        <v>-7.2807606999000005E-2</v>
      </c>
      <c r="K530">
        <f t="shared" si="33"/>
        <v>2.1137038000999999E-2</v>
      </c>
    </row>
    <row r="531" spans="1:11" x14ac:dyDescent="0.35">
      <c r="A531" t="s">
        <v>190</v>
      </c>
      <c r="B531">
        <v>71298</v>
      </c>
      <c r="C531">
        <v>1.8327E-2</v>
      </c>
      <c r="D531" s="5">
        <v>5.9763279E-5</v>
      </c>
      <c r="E531">
        <v>4.4112142E-2</v>
      </c>
      <c r="F531">
        <v>3.3869999999999998E-3</v>
      </c>
      <c r="G531" t="s">
        <v>205</v>
      </c>
      <c r="I531">
        <f t="shared" si="31"/>
        <v>1.8267236720999998E-2</v>
      </c>
      <c r="J531">
        <f t="shared" si="32"/>
        <v>4.4052378720999999E-2</v>
      </c>
      <c r="K531">
        <f t="shared" si="33"/>
        <v>3.3272367209999996E-3</v>
      </c>
    </row>
    <row r="532" spans="1:11" x14ac:dyDescent="0.35">
      <c r="A532" t="s">
        <v>191</v>
      </c>
      <c r="B532">
        <v>71298</v>
      </c>
      <c r="C532">
        <v>6.7450999999999997E-2</v>
      </c>
      <c r="D532" s="5">
        <v>6.1300699999999994E-5</v>
      </c>
      <c r="E532">
        <v>-7.4872575999999996E-2</v>
      </c>
      <c r="F532">
        <v>4.9419999999999999E-2</v>
      </c>
      <c r="G532" t="s">
        <v>205</v>
      </c>
      <c r="I532">
        <f t="shared" si="31"/>
        <v>6.7389699299999994E-2</v>
      </c>
      <c r="J532">
        <f t="shared" si="32"/>
        <v>-7.4933876699999999E-2</v>
      </c>
      <c r="K532">
        <f t="shared" si="33"/>
        <v>4.9358699299999996E-2</v>
      </c>
    </row>
    <row r="533" spans="1:11" x14ac:dyDescent="0.35">
      <c r="A533" t="s">
        <v>192</v>
      </c>
      <c r="B533">
        <v>71298</v>
      </c>
      <c r="C533">
        <v>-1.1077999999999999E-2</v>
      </c>
      <c r="D533" s="5">
        <v>6.2691921000000006E-5</v>
      </c>
      <c r="E533">
        <v>8.8008939999999994E-2</v>
      </c>
      <c r="F533">
        <v>2.8865999999999999E-2</v>
      </c>
      <c r="G533" t="s">
        <v>205</v>
      </c>
      <c r="I533">
        <f t="shared" si="31"/>
        <v>-1.1140691921E-2</v>
      </c>
      <c r="J533">
        <f t="shared" si="32"/>
        <v>8.7946248078999992E-2</v>
      </c>
      <c r="K533">
        <f t="shared" si="33"/>
        <v>2.8803308079000001E-2</v>
      </c>
    </row>
    <row r="534" spans="1:11" x14ac:dyDescent="0.35">
      <c r="A534" t="s">
        <v>193</v>
      </c>
      <c r="B534">
        <v>71298</v>
      </c>
      <c r="C534">
        <v>-5.6011999999999999E-2</v>
      </c>
      <c r="D534" s="5">
        <v>6.5894084000000006E-5</v>
      </c>
      <c r="E534">
        <v>3.2714512000000001E-2</v>
      </c>
      <c r="F534">
        <v>-6.0920000000000002E-3</v>
      </c>
      <c r="G534" t="s">
        <v>205</v>
      </c>
      <c r="I534">
        <f t="shared" si="31"/>
        <v>-5.6077894083999998E-2</v>
      </c>
      <c r="J534">
        <f t="shared" si="32"/>
        <v>3.2648617916000003E-2</v>
      </c>
      <c r="K534">
        <f t="shared" si="33"/>
        <v>-6.1578940840000002E-3</v>
      </c>
    </row>
    <row r="535" spans="1:11" x14ac:dyDescent="0.35">
      <c r="A535" t="s">
        <v>194</v>
      </c>
      <c r="B535">
        <v>71298</v>
      </c>
      <c r="C535">
        <v>8.4652000000000005E-2</v>
      </c>
      <c r="D535" s="5">
        <v>6.4920080999999997E-5</v>
      </c>
      <c r="E535">
        <v>1.3366196E-2</v>
      </c>
      <c r="F535">
        <v>-1.5969000000000001E-2</v>
      </c>
      <c r="G535" t="s">
        <v>205</v>
      </c>
      <c r="I535">
        <f t="shared" si="31"/>
        <v>8.4587079919000011E-2</v>
      </c>
      <c r="J535">
        <f t="shared" si="32"/>
        <v>1.3301275919000001E-2</v>
      </c>
      <c r="K535">
        <f t="shared" si="33"/>
        <v>-1.6033920081000002E-2</v>
      </c>
    </row>
    <row r="536" spans="1:11" x14ac:dyDescent="0.35">
      <c r="A536" t="s">
        <v>195</v>
      </c>
      <c r="B536">
        <v>71298</v>
      </c>
      <c r="C536">
        <v>-7.2209999999999996E-2</v>
      </c>
      <c r="D536" s="5">
        <v>6.4361448000000001E-5</v>
      </c>
      <c r="E536">
        <v>3.7867329999999998E-2</v>
      </c>
      <c r="F536">
        <v>-6.6389999999999999E-3</v>
      </c>
      <c r="G536" t="s">
        <v>205</v>
      </c>
      <c r="I536">
        <f t="shared" si="31"/>
        <v>-7.2274361447999994E-2</v>
      </c>
      <c r="J536">
        <f t="shared" si="32"/>
        <v>3.7802968552000001E-2</v>
      </c>
      <c r="K536">
        <f t="shared" si="33"/>
        <v>-6.7033614479999996E-3</v>
      </c>
    </row>
    <row r="537" spans="1:11" x14ac:dyDescent="0.35">
      <c r="A537" t="s">
        <v>196</v>
      </c>
      <c r="B537">
        <v>71298</v>
      </c>
      <c r="C537">
        <v>-2.044E-2</v>
      </c>
      <c r="D537" s="5">
        <v>6.5744126999999993E-5</v>
      </c>
      <c r="E537">
        <v>-6.1593663E-2</v>
      </c>
      <c r="F537">
        <v>1.7573999999999999E-2</v>
      </c>
      <c r="G537" t="s">
        <v>205</v>
      </c>
      <c r="I537">
        <f t="shared" si="31"/>
        <v>-2.0505744127E-2</v>
      </c>
      <c r="J537">
        <f t="shared" si="32"/>
        <v>-6.1659407127E-2</v>
      </c>
      <c r="K537">
        <f t="shared" si="33"/>
        <v>1.7508255872999999E-2</v>
      </c>
    </row>
    <row r="538" spans="1:11" x14ac:dyDescent="0.35">
      <c r="A538" t="s">
        <v>197</v>
      </c>
      <c r="B538">
        <v>71298</v>
      </c>
      <c r="C538">
        <v>0.26972600000000002</v>
      </c>
      <c r="D538" s="5">
        <v>6.2413674000000004E-5</v>
      </c>
      <c r="E538">
        <v>6.7385903999999996E-2</v>
      </c>
      <c r="F538">
        <v>8.0029000000000003E-2</v>
      </c>
      <c r="G538" t="s">
        <v>205</v>
      </c>
      <c r="I538">
        <f t="shared" si="31"/>
        <v>0.26966358632600002</v>
      </c>
      <c r="J538">
        <f t="shared" si="32"/>
        <v>6.7323490325999991E-2</v>
      </c>
      <c r="K538">
        <f t="shared" si="33"/>
        <v>7.9966586325999997E-2</v>
      </c>
    </row>
    <row r="539" spans="1:11" x14ac:dyDescent="0.35">
      <c r="A539" t="s">
        <v>198</v>
      </c>
      <c r="B539">
        <v>71298</v>
      </c>
      <c r="C539">
        <v>3.1071999999999999E-2</v>
      </c>
      <c r="D539" s="5">
        <v>5.4067222999999999E-5</v>
      </c>
      <c r="E539">
        <v>1.3151872E-2</v>
      </c>
      <c r="F539">
        <v>7.4999999999999993E-5</v>
      </c>
      <c r="G539" t="s">
        <v>205</v>
      </c>
      <c r="I539">
        <f t="shared" si="31"/>
        <v>3.1017932777000001E-2</v>
      </c>
      <c r="J539">
        <f t="shared" si="32"/>
        <v>1.3097804777E-2</v>
      </c>
      <c r="K539">
        <f t="shared" si="33"/>
        <v>2.0932776999999994E-5</v>
      </c>
    </row>
    <row r="540" spans="1:11" x14ac:dyDescent="0.35">
      <c r="A540" t="s">
        <v>199</v>
      </c>
      <c r="B540">
        <v>71298</v>
      </c>
      <c r="C540">
        <v>0.19434199999999999</v>
      </c>
      <c r="D540" s="5">
        <v>5.5450476999999997E-5</v>
      </c>
      <c r="E540">
        <v>-2.0256182000000001E-2</v>
      </c>
      <c r="F540">
        <v>7.9122999999999999E-2</v>
      </c>
      <c r="G540" t="s">
        <v>205</v>
      </c>
      <c r="I540">
        <f t="shared" si="31"/>
        <v>0.19428654952299998</v>
      </c>
      <c r="J540">
        <f t="shared" si="32"/>
        <v>-2.0311632477000002E-2</v>
      </c>
      <c r="K540">
        <f t="shared" si="33"/>
        <v>7.9067549523000005E-2</v>
      </c>
    </row>
    <row r="541" spans="1:11" x14ac:dyDescent="0.35">
      <c r="A541" t="s">
        <v>200</v>
      </c>
      <c r="B541">
        <v>71298</v>
      </c>
      <c r="C541">
        <v>-0.105779</v>
      </c>
      <c r="D541" s="5">
        <v>5.3928131999999997E-5</v>
      </c>
      <c r="E541">
        <v>1.5959764000000001E-2</v>
      </c>
      <c r="F541">
        <v>-3.3947999999999999E-2</v>
      </c>
      <c r="G541" t="s">
        <v>205</v>
      </c>
      <c r="I541">
        <f t="shared" si="31"/>
        <v>-0.105832928132</v>
      </c>
      <c r="J541">
        <f t="shared" si="32"/>
        <v>1.5905835868000002E-2</v>
      </c>
      <c r="K541">
        <f t="shared" si="33"/>
        <v>-3.4001928132000002E-2</v>
      </c>
    </row>
    <row r="542" spans="1:11" x14ac:dyDescent="0.35">
      <c r="A542" t="s">
        <v>201</v>
      </c>
      <c r="B542">
        <v>71298</v>
      </c>
      <c r="C542">
        <v>1.7309999999999999E-3</v>
      </c>
      <c r="D542" s="5">
        <v>4.7833000000000001E-5</v>
      </c>
      <c r="E542">
        <v>2.0895692E-2</v>
      </c>
      <c r="F542">
        <v>2.5635000000000002E-2</v>
      </c>
      <c r="G542" t="s">
        <v>205</v>
      </c>
      <c r="I542">
        <f t="shared" si="31"/>
        <v>1.683167E-3</v>
      </c>
      <c r="J542">
        <f t="shared" si="32"/>
        <v>2.0847859E-2</v>
      </c>
      <c r="K542">
        <f t="shared" si="33"/>
        <v>2.5587167000000001E-2</v>
      </c>
    </row>
    <row r="543" spans="1:11" x14ac:dyDescent="0.35">
      <c r="A543" t="s">
        <v>202</v>
      </c>
      <c r="B543">
        <v>71298</v>
      </c>
      <c r="C543">
        <v>-2.9378000000000001E-2</v>
      </c>
      <c r="D543" s="5">
        <v>4.0996583E-5</v>
      </c>
      <c r="E543">
        <v>3.6646235999999999E-2</v>
      </c>
      <c r="F543">
        <v>-3.2086000000000003E-2</v>
      </c>
      <c r="G543" t="s">
        <v>205</v>
      </c>
      <c r="I543">
        <f t="shared" si="31"/>
        <v>-2.9418996583000002E-2</v>
      </c>
      <c r="J543">
        <f t="shared" si="32"/>
        <v>3.6605239417000002E-2</v>
      </c>
      <c r="K543">
        <f t="shared" si="33"/>
        <v>-3.2126996583E-2</v>
      </c>
    </row>
    <row r="544" spans="1:11" x14ac:dyDescent="0.35">
      <c r="A544" t="s">
        <v>203</v>
      </c>
      <c r="B544">
        <v>71298</v>
      </c>
      <c r="C544">
        <v>0.106548</v>
      </c>
      <c r="D544" s="5">
        <v>4.2802500999999998E-5</v>
      </c>
      <c r="E544">
        <v>2.8492387000000001E-2</v>
      </c>
      <c r="F544">
        <v>3.6559000000000001E-2</v>
      </c>
      <c r="G544" t="s">
        <v>205</v>
      </c>
      <c r="I544">
        <f t="shared" si="31"/>
        <v>0.106505197499</v>
      </c>
      <c r="J544">
        <f t="shared" si="32"/>
        <v>2.8449584499000001E-2</v>
      </c>
      <c r="K544">
        <f t="shared" si="33"/>
        <v>3.6516197499000001E-2</v>
      </c>
    </row>
    <row r="546" spans="1:11" x14ac:dyDescent="0.35">
      <c r="A546" t="s">
        <v>23</v>
      </c>
      <c r="B546">
        <v>21207</v>
      </c>
      <c r="C546">
        <v>-6.3499E-2</v>
      </c>
      <c r="D546" s="5">
        <v>4.7948841000000003E-5</v>
      </c>
      <c r="E546">
        <v>-2.6517817999999999E-2</v>
      </c>
      <c r="F546">
        <v>-3.6073000000000001E-2</v>
      </c>
      <c r="G546" t="s">
        <v>206</v>
      </c>
      <c r="I546">
        <f t="shared" si="31"/>
        <v>-6.3546948840999998E-2</v>
      </c>
      <c r="J546">
        <f t="shared" si="32"/>
        <v>-2.6565766841E-2</v>
      </c>
      <c r="K546">
        <f t="shared" si="33"/>
        <v>-3.6120948840999999E-2</v>
      </c>
    </row>
    <row r="547" spans="1:11" x14ac:dyDescent="0.35">
      <c r="A547" t="s">
        <v>25</v>
      </c>
      <c r="B547">
        <v>21207</v>
      </c>
      <c r="C547">
        <v>8.1990999999999994E-2</v>
      </c>
      <c r="D547" s="5">
        <v>5.5244941999999998E-5</v>
      </c>
      <c r="E547">
        <v>2.2697801E-2</v>
      </c>
      <c r="F547">
        <v>3.0790999999999999E-2</v>
      </c>
      <c r="G547" t="s">
        <v>206</v>
      </c>
      <c r="I547">
        <f t="shared" si="31"/>
        <v>8.1935755057999993E-2</v>
      </c>
      <c r="J547">
        <f t="shared" si="32"/>
        <v>2.2642556058000002E-2</v>
      </c>
      <c r="K547">
        <f t="shared" si="33"/>
        <v>3.0735755058000001E-2</v>
      </c>
    </row>
    <row r="548" spans="1:11" x14ac:dyDescent="0.35">
      <c r="A548" t="s">
        <v>26</v>
      </c>
      <c r="B548">
        <v>21207</v>
      </c>
      <c r="C548">
        <v>-5.8888999999999997E-2</v>
      </c>
      <c r="D548" s="5">
        <v>6.8319866999999999E-5</v>
      </c>
      <c r="E548">
        <v>-1.6850591000000002E-2</v>
      </c>
      <c r="F548">
        <v>-1.6084999999999999E-2</v>
      </c>
      <c r="G548" t="s">
        <v>206</v>
      </c>
      <c r="I548">
        <f t="shared" si="31"/>
        <v>-5.8957319866999994E-2</v>
      </c>
      <c r="J548">
        <f t="shared" si="32"/>
        <v>-1.6918910867000002E-2</v>
      </c>
      <c r="K548">
        <f t="shared" si="33"/>
        <v>-1.6153319866999999E-2</v>
      </c>
    </row>
    <row r="549" spans="1:11" x14ac:dyDescent="0.35">
      <c r="A549" t="s">
        <v>27</v>
      </c>
      <c r="B549">
        <v>21207</v>
      </c>
      <c r="C549">
        <v>-0.101302</v>
      </c>
      <c r="D549" s="5">
        <v>7.1599496999999996E-5</v>
      </c>
      <c r="E549">
        <v>-2.5221592000000001E-2</v>
      </c>
      <c r="F549">
        <v>1.2377000000000001E-2</v>
      </c>
      <c r="G549" t="s">
        <v>206</v>
      </c>
      <c r="I549">
        <f t="shared" si="31"/>
        <v>-0.10137359949700001</v>
      </c>
      <c r="J549">
        <f t="shared" si="32"/>
        <v>-2.5293191497E-2</v>
      </c>
      <c r="K549">
        <f t="shared" si="33"/>
        <v>1.2305400503E-2</v>
      </c>
    </row>
    <row r="550" spans="1:11" x14ac:dyDescent="0.35">
      <c r="A550" t="s">
        <v>28</v>
      </c>
      <c r="B550">
        <v>21207</v>
      </c>
      <c r="C550">
        <v>-1.6591999999999999E-2</v>
      </c>
      <c r="D550" s="5">
        <v>7.3475609999999999E-5</v>
      </c>
      <c r="E550">
        <v>3.7993193000000001E-2</v>
      </c>
      <c r="F550">
        <v>-3.9216000000000001E-2</v>
      </c>
      <c r="G550" t="s">
        <v>206</v>
      </c>
      <c r="I550">
        <f t="shared" si="31"/>
        <v>-1.6665475609999997E-2</v>
      </c>
      <c r="J550">
        <f t="shared" si="32"/>
        <v>3.7919717390000003E-2</v>
      </c>
      <c r="K550">
        <f t="shared" si="33"/>
        <v>-3.9289475609999999E-2</v>
      </c>
    </row>
    <row r="551" spans="1:11" x14ac:dyDescent="0.35">
      <c r="A551" t="s">
        <v>29</v>
      </c>
      <c r="B551">
        <v>21207</v>
      </c>
      <c r="C551">
        <v>4.8066999999999999E-2</v>
      </c>
      <c r="D551" s="5">
        <v>7.5899545000000004E-5</v>
      </c>
      <c r="E551">
        <v>1.1474352E-2</v>
      </c>
      <c r="F551">
        <v>4.2977000000000001E-2</v>
      </c>
      <c r="G551" t="s">
        <v>206</v>
      </c>
      <c r="I551">
        <f t="shared" si="31"/>
        <v>4.7991100454999998E-2</v>
      </c>
      <c r="J551">
        <f t="shared" si="32"/>
        <v>1.1398452454999999E-2</v>
      </c>
      <c r="K551">
        <f t="shared" si="33"/>
        <v>4.2901100455000001E-2</v>
      </c>
    </row>
    <row r="552" spans="1:11" x14ac:dyDescent="0.35">
      <c r="A552" t="s">
        <v>30</v>
      </c>
      <c r="B552">
        <v>21207</v>
      </c>
      <c r="C552">
        <v>-3.7920000000000002E-2</v>
      </c>
      <c r="D552" s="5">
        <v>8.1133752000000001E-5</v>
      </c>
      <c r="E552">
        <v>4.3326780000000002E-2</v>
      </c>
      <c r="F552">
        <v>-1.4272999999999999E-2</v>
      </c>
      <c r="G552" t="s">
        <v>206</v>
      </c>
      <c r="I552">
        <f t="shared" si="31"/>
        <v>-3.8001133752000003E-2</v>
      </c>
      <c r="J552">
        <f t="shared" si="32"/>
        <v>4.3245646248000001E-2</v>
      </c>
      <c r="K552">
        <f t="shared" si="33"/>
        <v>-1.4354133751999999E-2</v>
      </c>
    </row>
    <row r="553" spans="1:11" x14ac:dyDescent="0.35">
      <c r="A553" t="s">
        <v>31</v>
      </c>
      <c r="B553">
        <v>21207</v>
      </c>
      <c r="C553">
        <v>5.4060999999999998E-2</v>
      </c>
      <c r="D553" s="5">
        <v>8.8369225999999999E-5</v>
      </c>
      <c r="E553">
        <v>-6.0141183999999999E-3</v>
      </c>
      <c r="F553">
        <v>1.3545E-2</v>
      </c>
      <c r="G553" t="s">
        <v>206</v>
      </c>
      <c r="I553">
        <f t="shared" si="31"/>
        <v>5.3972630773999997E-2</v>
      </c>
      <c r="J553">
        <f t="shared" si="32"/>
        <v>-6.1024876260000003E-3</v>
      </c>
      <c r="K553">
        <f t="shared" si="33"/>
        <v>1.3456630774E-2</v>
      </c>
    </row>
    <row r="554" spans="1:11" x14ac:dyDescent="0.35">
      <c r="A554" t="s">
        <v>32</v>
      </c>
      <c r="B554">
        <v>21207</v>
      </c>
      <c r="C554">
        <v>0.19428999999999999</v>
      </c>
      <c r="D554" s="5">
        <v>9.2246314999999999E-5</v>
      </c>
      <c r="E554">
        <v>1.0593396999999999E-2</v>
      </c>
      <c r="F554">
        <v>7.6036999999999993E-2</v>
      </c>
      <c r="G554" t="s">
        <v>206</v>
      </c>
      <c r="I554">
        <f t="shared" si="31"/>
        <v>0.194197753685</v>
      </c>
      <c r="J554">
        <f t="shared" si="32"/>
        <v>1.0501150684999998E-2</v>
      </c>
      <c r="K554">
        <f t="shared" si="33"/>
        <v>7.5944753684999991E-2</v>
      </c>
    </row>
    <row r="555" spans="1:11" x14ac:dyDescent="0.35">
      <c r="A555" t="s">
        <v>33</v>
      </c>
      <c r="B555">
        <v>21207</v>
      </c>
      <c r="C555">
        <v>-9.6883999999999998E-2</v>
      </c>
      <c r="D555" s="5">
        <v>8.5793734000000005E-5</v>
      </c>
      <c r="E555">
        <v>-1.3740894999999999E-2</v>
      </c>
      <c r="F555">
        <v>-6.424E-3</v>
      </c>
      <c r="G555" t="s">
        <v>206</v>
      </c>
      <c r="I555">
        <f t="shared" si="31"/>
        <v>-9.6969793733999998E-2</v>
      </c>
      <c r="J555">
        <f t="shared" si="32"/>
        <v>-1.3826688734E-2</v>
      </c>
      <c r="K555">
        <f t="shared" si="33"/>
        <v>-6.5097937340000004E-3</v>
      </c>
    </row>
    <row r="556" spans="1:11" x14ac:dyDescent="0.35">
      <c r="A556" t="s">
        <v>34</v>
      </c>
      <c r="B556">
        <v>21207</v>
      </c>
      <c r="C556">
        <v>8.4976999999999997E-2</v>
      </c>
      <c r="D556" s="5">
        <v>1.0221382E-4</v>
      </c>
      <c r="E556">
        <v>3.4165464E-2</v>
      </c>
      <c r="F556">
        <v>5.8189999999999999E-2</v>
      </c>
      <c r="G556" t="s">
        <v>206</v>
      </c>
      <c r="I556">
        <f t="shared" si="31"/>
        <v>8.4874786179999995E-2</v>
      </c>
      <c r="J556">
        <f t="shared" si="32"/>
        <v>3.4063250179999997E-2</v>
      </c>
      <c r="K556">
        <f t="shared" si="33"/>
        <v>5.8087786179999996E-2</v>
      </c>
    </row>
    <row r="557" spans="1:11" x14ac:dyDescent="0.35">
      <c r="A557" t="s">
        <v>35</v>
      </c>
      <c r="B557">
        <v>21207</v>
      </c>
      <c r="C557">
        <v>0.15784899999999999</v>
      </c>
      <c r="D557" s="5">
        <v>1.0811459E-4</v>
      </c>
      <c r="E557">
        <v>3.4972754999999999E-3</v>
      </c>
      <c r="F557">
        <v>5.0508999999999998E-2</v>
      </c>
      <c r="G557" t="s">
        <v>206</v>
      </c>
      <c r="I557">
        <f t="shared" si="31"/>
        <v>0.15774088540999998</v>
      </c>
      <c r="J557">
        <f t="shared" si="32"/>
        <v>3.3891609099999998E-3</v>
      </c>
      <c r="K557">
        <f t="shared" si="33"/>
        <v>5.0400885409999999E-2</v>
      </c>
    </row>
    <row r="558" spans="1:11" x14ac:dyDescent="0.35">
      <c r="A558" t="s">
        <v>36</v>
      </c>
      <c r="B558">
        <v>21207</v>
      </c>
      <c r="C558">
        <v>0.157303</v>
      </c>
      <c r="D558" s="5">
        <v>1.0946717E-4</v>
      </c>
      <c r="E558">
        <v>4.0057152999999998E-2</v>
      </c>
      <c r="F558">
        <v>9.9263000000000004E-2</v>
      </c>
      <c r="G558" t="s">
        <v>206</v>
      </c>
      <c r="I558">
        <f t="shared" si="31"/>
        <v>0.15719353283000001</v>
      </c>
      <c r="J558">
        <f t="shared" si="32"/>
        <v>3.9947685829999996E-2</v>
      </c>
      <c r="K558">
        <f t="shared" si="33"/>
        <v>9.9153532830000002E-2</v>
      </c>
    </row>
    <row r="559" spans="1:11" x14ac:dyDescent="0.35">
      <c r="A559" t="s">
        <v>37</v>
      </c>
      <c r="B559">
        <v>21207</v>
      </c>
      <c r="C559">
        <v>-0.14368900000000001</v>
      </c>
      <c r="D559" s="5">
        <v>1.1473459E-4</v>
      </c>
      <c r="E559">
        <v>-1.6283552E-3</v>
      </c>
      <c r="F559">
        <v>-1.1110999999999999E-2</v>
      </c>
      <c r="G559" t="s">
        <v>206</v>
      </c>
      <c r="I559">
        <f t="shared" si="31"/>
        <v>-0.14380373459000001</v>
      </c>
      <c r="J559">
        <f t="shared" si="32"/>
        <v>-1.7430897900000001E-3</v>
      </c>
      <c r="K559">
        <f t="shared" si="33"/>
        <v>-1.122573459E-2</v>
      </c>
    </row>
    <row r="560" spans="1:11" x14ac:dyDescent="0.35">
      <c r="A560" t="s">
        <v>38</v>
      </c>
      <c r="B560">
        <v>21207</v>
      </c>
      <c r="C560">
        <v>-1.7573999999999999E-2</v>
      </c>
      <c r="D560" s="5">
        <v>1.2225505E-4</v>
      </c>
      <c r="E560">
        <v>1.8970178000000001E-2</v>
      </c>
      <c r="F560">
        <v>3.6205000000000001E-2</v>
      </c>
      <c r="G560" t="s">
        <v>206</v>
      </c>
      <c r="I560">
        <f t="shared" si="31"/>
        <v>-1.7696255049999998E-2</v>
      </c>
      <c r="J560">
        <f t="shared" si="32"/>
        <v>1.8847922950000002E-2</v>
      </c>
      <c r="K560">
        <f t="shared" si="33"/>
        <v>3.6082744950000002E-2</v>
      </c>
    </row>
    <row r="561" spans="1:11" x14ac:dyDescent="0.35">
      <c r="A561" t="s">
        <v>39</v>
      </c>
      <c r="B561">
        <v>21207</v>
      </c>
      <c r="C561">
        <v>0.12468700000000001</v>
      </c>
      <c r="D561" s="5">
        <v>1.2702313E-4</v>
      </c>
      <c r="E561">
        <v>1.3077589000000001E-2</v>
      </c>
      <c r="F561">
        <v>0.12031</v>
      </c>
      <c r="G561" t="s">
        <v>206</v>
      </c>
      <c r="I561">
        <f t="shared" si="31"/>
        <v>0.12455997687000001</v>
      </c>
      <c r="J561">
        <f t="shared" si="32"/>
        <v>1.295056587E-2</v>
      </c>
      <c r="K561">
        <f t="shared" si="33"/>
        <v>0.12018297687</v>
      </c>
    </row>
    <row r="562" spans="1:11" x14ac:dyDescent="0.35">
      <c r="A562" t="s">
        <v>40</v>
      </c>
      <c r="B562">
        <v>21207</v>
      </c>
      <c r="C562">
        <v>-0.106408</v>
      </c>
      <c r="D562" s="5">
        <v>1.2549012999999999E-4</v>
      </c>
      <c r="E562">
        <v>-3.10251E-2</v>
      </c>
      <c r="F562">
        <v>-1.3212E-2</v>
      </c>
      <c r="G562" t="s">
        <v>206</v>
      </c>
      <c r="I562">
        <f t="shared" si="31"/>
        <v>-0.10653349013000001</v>
      </c>
      <c r="J562">
        <f t="shared" si="32"/>
        <v>-3.1150590129999999E-2</v>
      </c>
      <c r="K562">
        <f t="shared" si="33"/>
        <v>-1.3337490129999999E-2</v>
      </c>
    </row>
    <row r="563" spans="1:11" x14ac:dyDescent="0.35">
      <c r="A563" t="s">
        <v>41</v>
      </c>
      <c r="B563">
        <v>21207</v>
      </c>
      <c r="C563">
        <v>1.6874E-2</v>
      </c>
      <c r="D563" s="5">
        <v>1.2976839000000001E-4</v>
      </c>
      <c r="E563">
        <v>-3.1822989999999999E-4</v>
      </c>
      <c r="F563">
        <v>-4.6706999999999999E-2</v>
      </c>
      <c r="G563" t="s">
        <v>206</v>
      </c>
      <c r="I563">
        <f t="shared" si="31"/>
        <v>1.674423161E-2</v>
      </c>
      <c r="J563">
        <f t="shared" si="32"/>
        <v>-4.4799829E-4</v>
      </c>
      <c r="K563">
        <f t="shared" si="33"/>
        <v>-4.6836768389999998E-2</v>
      </c>
    </row>
    <row r="564" spans="1:11" x14ac:dyDescent="0.35">
      <c r="A564" t="s">
        <v>42</v>
      </c>
      <c r="B564">
        <v>21207</v>
      </c>
      <c r="C564">
        <v>-3.2118000000000001E-2</v>
      </c>
      <c r="D564" s="5">
        <v>1.2228312999999999E-4</v>
      </c>
      <c r="E564">
        <v>-9.6833464000000008E-3</v>
      </c>
      <c r="F564">
        <v>3.1521E-2</v>
      </c>
      <c r="G564" t="s">
        <v>206</v>
      </c>
      <c r="I564">
        <f t="shared" si="31"/>
        <v>-3.2240283129999998E-2</v>
      </c>
      <c r="J564">
        <f t="shared" si="32"/>
        <v>-9.8056295300000002E-3</v>
      </c>
      <c r="K564">
        <f t="shared" si="33"/>
        <v>3.1398716870000003E-2</v>
      </c>
    </row>
    <row r="565" spans="1:11" x14ac:dyDescent="0.35">
      <c r="A565" t="s">
        <v>43</v>
      </c>
      <c r="B565">
        <v>21207</v>
      </c>
      <c r="C565">
        <v>3.8999999999999999E-4</v>
      </c>
      <c r="D565" s="5">
        <v>1.3703064E-4</v>
      </c>
      <c r="E565">
        <v>2.5151808000000001E-2</v>
      </c>
      <c r="F565">
        <v>-1.3775000000000001E-2</v>
      </c>
      <c r="G565" t="s">
        <v>206</v>
      </c>
      <c r="I565">
        <f t="shared" si="31"/>
        <v>2.5296935999999999E-4</v>
      </c>
      <c r="J565">
        <f t="shared" si="32"/>
        <v>2.501477736E-2</v>
      </c>
      <c r="K565">
        <f t="shared" si="33"/>
        <v>-1.3912030640000001E-2</v>
      </c>
    </row>
    <row r="566" spans="1:11" x14ac:dyDescent="0.35">
      <c r="A566" t="s">
        <v>44</v>
      </c>
      <c r="B566">
        <v>21207</v>
      </c>
      <c r="C566">
        <v>-0.16390199999999999</v>
      </c>
      <c r="D566" s="5">
        <v>1.3985681000000001E-4</v>
      </c>
      <c r="E566">
        <v>1.9410975E-2</v>
      </c>
      <c r="F566">
        <v>-4.5272E-2</v>
      </c>
      <c r="G566" t="s">
        <v>206</v>
      </c>
      <c r="I566">
        <f t="shared" si="31"/>
        <v>-0.16404185681</v>
      </c>
      <c r="J566">
        <f t="shared" si="32"/>
        <v>1.9271118190000002E-2</v>
      </c>
      <c r="K566">
        <f t="shared" si="33"/>
        <v>-4.5411856809999998E-2</v>
      </c>
    </row>
    <row r="567" spans="1:11" x14ac:dyDescent="0.35">
      <c r="A567" t="s">
        <v>45</v>
      </c>
      <c r="B567">
        <v>21207</v>
      </c>
      <c r="C567">
        <v>5.8946999999999999E-2</v>
      </c>
      <c r="D567" s="5">
        <v>1.2507204999999999E-4</v>
      </c>
      <c r="E567">
        <v>3.4900713999999999E-2</v>
      </c>
      <c r="F567">
        <v>1.2947999999999999E-2</v>
      </c>
      <c r="G567" t="s">
        <v>206</v>
      </c>
      <c r="I567">
        <f t="shared" si="31"/>
        <v>5.8821927949999998E-2</v>
      </c>
      <c r="J567">
        <f t="shared" si="32"/>
        <v>3.4775641949999998E-2</v>
      </c>
      <c r="K567">
        <f t="shared" si="33"/>
        <v>1.282292795E-2</v>
      </c>
    </row>
    <row r="568" spans="1:11" x14ac:dyDescent="0.35">
      <c r="A568" t="s">
        <v>46</v>
      </c>
      <c r="B568">
        <v>21207</v>
      </c>
      <c r="C568">
        <v>3.6227000000000002E-2</v>
      </c>
      <c r="D568" s="5">
        <v>1.4148996E-4</v>
      </c>
      <c r="E568">
        <v>2.5525862E-2</v>
      </c>
      <c r="F568">
        <v>6.8890999999999994E-2</v>
      </c>
      <c r="G568" t="s">
        <v>206</v>
      </c>
      <c r="I568">
        <f t="shared" si="31"/>
        <v>3.6085510040000005E-2</v>
      </c>
      <c r="J568">
        <f t="shared" si="32"/>
        <v>2.5384372039999999E-2</v>
      </c>
      <c r="K568">
        <f t="shared" si="33"/>
        <v>6.8749510039999989E-2</v>
      </c>
    </row>
    <row r="569" spans="1:11" x14ac:dyDescent="0.35">
      <c r="A569" t="s">
        <v>47</v>
      </c>
      <c r="B569">
        <v>21207</v>
      </c>
      <c r="C569">
        <v>-3.5387000000000002E-2</v>
      </c>
      <c r="D569" s="5">
        <v>1.4320338999999999E-4</v>
      </c>
      <c r="E569">
        <v>1.0861081E-2</v>
      </c>
      <c r="F569">
        <v>-1.8325999999999999E-2</v>
      </c>
      <c r="G569" t="s">
        <v>206</v>
      </c>
      <c r="I569">
        <f t="shared" si="31"/>
        <v>-3.5530203390000001E-2</v>
      </c>
      <c r="J569">
        <f t="shared" si="32"/>
        <v>1.0717877609999999E-2</v>
      </c>
      <c r="K569">
        <f t="shared" si="33"/>
        <v>-1.8469203389999998E-2</v>
      </c>
    </row>
    <row r="570" spans="1:11" x14ac:dyDescent="0.35">
      <c r="A570" t="s">
        <v>48</v>
      </c>
      <c r="B570">
        <v>21207</v>
      </c>
      <c r="C570">
        <v>-1.1069999999999999E-3</v>
      </c>
      <c r="D570" s="5">
        <v>1.2932273999999999E-4</v>
      </c>
      <c r="E570">
        <v>1.9592070999999999E-2</v>
      </c>
      <c r="F570">
        <v>2.5628999999999999E-2</v>
      </c>
      <c r="G570" t="s">
        <v>206</v>
      </c>
      <c r="I570">
        <f t="shared" si="31"/>
        <v>-1.2363227399999998E-3</v>
      </c>
      <c r="J570">
        <f t="shared" si="32"/>
        <v>1.9462748259999999E-2</v>
      </c>
      <c r="K570">
        <f t="shared" si="33"/>
        <v>2.5499677259999999E-2</v>
      </c>
    </row>
    <row r="571" spans="1:11" x14ac:dyDescent="0.35">
      <c r="A571" t="s">
        <v>49</v>
      </c>
      <c r="B571">
        <v>21207</v>
      </c>
      <c r="C571">
        <v>0</v>
      </c>
      <c r="D571" s="5">
        <v>1.3506156E-4</v>
      </c>
      <c r="E571">
        <v>-1.4020795000000001E-2</v>
      </c>
      <c r="F571">
        <v>2.5451000000000001E-2</v>
      </c>
      <c r="G571" t="s">
        <v>206</v>
      </c>
      <c r="I571">
        <f t="shared" ref="I571:I634" si="34">C571-D571</f>
        <v>-1.3506156E-4</v>
      </c>
      <c r="J571">
        <f t="shared" ref="J571:J634" si="35">E571-D571</f>
        <v>-1.4155856560000001E-2</v>
      </c>
      <c r="K571">
        <f t="shared" ref="K571:K634" si="36">F571-D571</f>
        <v>2.5315938440000001E-2</v>
      </c>
    </row>
    <row r="572" spans="1:11" x14ac:dyDescent="0.35">
      <c r="A572" t="s">
        <v>50</v>
      </c>
      <c r="B572">
        <v>21207</v>
      </c>
      <c r="C572">
        <v>-6.6740999999999995E-2</v>
      </c>
      <c r="D572" s="5">
        <v>1.4202721999999999E-4</v>
      </c>
      <c r="E572">
        <v>1.2952416E-2</v>
      </c>
      <c r="F572">
        <v>-1.1131E-2</v>
      </c>
      <c r="G572" t="s">
        <v>206</v>
      </c>
      <c r="I572">
        <f t="shared" si="34"/>
        <v>-6.6883027219999988E-2</v>
      </c>
      <c r="J572">
        <f t="shared" si="35"/>
        <v>1.2810388779999999E-2</v>
      </c>
      <c r="K572">
        <f t="shared" si="36"/>
        <v>-1.1273027220000001E-2</v>
      </c>
    </row>
    <row r="573" spans="1:11" x14ac:dyDescent="0.35">
      <c r="A573" t="s">
        <v>51</v>
      </c>
      <c r="B573">
        <v>21207</v>
      </c>
      <c r="C573">
        <v>-6.9059999999999998E-3</v>
      </c>
      <c r="D573" s="5">
        <v>1.3845289999999999E-4</v>
      </c>
      <c r="E573">
        <v>3.9758044999999999E-2</v>
      </c>
      <c r="F573">
        <v>2.0535000000000001E-2</v>
      </c>
      <c r="G573" t="s">
        <v>206</v>
      </c>
      <c r="I573">
        <f t="shared" si="34"/>
        <v>-7.0444528999999995E-3</v>
      </c>
      <c r="J573">
        <f t="shared" si="35"/>
        <v>3.9619592099999996E-2</v>
      </c>
      <c r="K573">
        <f t="shared" si="36"/>
        <v>2.0396547100000002E-2</v>
      </c>
    </row>
    <row r="574" spans="1:11" x14ac:dyDescent="0.35">
      <c r="A574" t="s">
        <v>52</v>
      </c>
      <c r="B574">
        <v>21207</v>
      </c>
      <c r="C574">
        <v>-2.4459999999999999E-2</v>
      </c>
      <c r="D574" s="5">
        <v>1.3034255E-4</v>
      </c>
      <c r="E574">
        <v>3.8909490999999997E-2</v>
      </c>
      <c r="F574">
        <v>-2.3102999999999999E-2</v>
      </c>
      <c r="G574" t="s">
        <v>206</v>
      </c>
      <c r="I574">
        <f t="shared" si="34"/>
        <v>-2.4590342549999998E-2</v>
      </c>
      <c r="J574">
        <f t="shared" si="35"/>
        <v>3.8779148449999995E-2</v>
      </c>
      <c r="K574">
        <f t="shared" si="36"/>
        <v>-2.3233342549999998E-2</v>
      </c>
    </row>
    <row r="575" spans="1:11" x14ac:dyDescent="0.35">
      <c r="A575" t="s">
        <v>53</v>
      </c>
      <c r="B575">
        <v>21207</v>
      </c>
      <c r="C575">
        <v>-3.7365000000000002E-2</v>
      </c>
      <c r="D575" s="5">
        <v>1.3037657E-4</v>
      </c>
      <c r="E575">
        <v>-1.4821285E-2</v>
      </c>
      <c r="F575">
        <v>-1.9377999999999999E-2</v>
      </c>
      <c r="G575" t="s">
        <v>206</v>
      </c>
      <c r="I575">
        <f t="shared" si="34"/>
        <v>-3.7495376570000002E-2</v>
      </c>
      <c r="J575">
        <f t="shared" si="35"/>
        <v>-1.495166157E-2</v>
      </c>
      <c r="K575">
        <f t="shared" si="36"/>
        <v>-1.9508376569999999E-2</v>
      </c>
    </row>
    <row r="576" spans="1:11" x14ac:dyDescent="0.35">
      <c r="A576" t="s">
        <v>54</v>
      </c>
      <c r="B576">
        <v>21207</v>
      </c>
      <c r="C576">
        <v>6.8867999999999999E-2</v>
      </c>
      <c r="D576" s="5">
        <v>1.1670869E-4</v>
      </c>
      <c r="E576">
        <v>-3.1721417000000002E-2</v>
      </c>
      <c r="F576">
        <v>2.3650000000000001E-2</v>
      </c>
      <c r="G576" t="s">
        <v>206</v>
      </c>
      <c r="I576">
        <f t="shared" si="34"/>
        <v>6.8751291310000004E-2</v>
      </c>
      <c r="J576">
        <f t="shared" si="35"/>
        <v>-3.1838125690000003E-2</v>
      </c>
      <c r="K576">
        <f t="shared" si="36"/>
        <v>2.3533291309999999E-2</v>
      </c>
    </row>
    <row r="577" spans="1:11" x14ac:dyDescent="0.35">
      <c r="A577" t="s">
        <v>55</v>
      </c>
      <c r="B577">
        <v>21207</v>
      </c>
      <c r="C577">
        <v>1.2215999999999999E-2</v>
      </c>
      <c r="D577" s="5">
        <v>1.3702123999999999E-4</v>
      </c>
      <c r="E577">
        <v>1.169362E-2</v>
      </c>
      <c r="F577">
        <v>1.1096E-2</v>
      </c>
      <c r="G577" t="s">
        <v>206</v>
      </c>
      <c r="I577">
        <f t="shared" si="34"/>
        <v>1.2078978759999999E-2</v>
      </c>
      <c r="J577">
        <f t="shared" si="35"/>
        <v>1.155659876E-2</v>
      </c>
      <c r="K577">
        <f t="shared" si="36"/>
        <v>1.095897876E-2</v>
      </c>
    </row>
    <row r="578" spans="1:11" x14ac:dyDescent="0.35">
      <c r="A578" t="s">
        <v>56</v>
      </c>
      <c r="B578">
        <v>21207</v>
      </c>
      <c r="C578">
        <v>6.0814E-2</v>
      </c>
      <c r="D578" s="5">
        <v>1.1455195999999999E-4</v>
      </c>
      <c r="E578">
        <v>4.0834490000000001E-2</v>
      </c>
      <c r="F578">
        <v>0.10508099999999999</v>
      </c>
      <c r="G578" t="s">
        <v>206</v>
      </c>
      <c r="I578">
        <f t="shared" si="34"/>
        <v>6.0699448039999999E-2</v>
      </c>
      <c r="J578">
        <f t="shared" si="35"/>
        <v>4.0719938040000001E-2</v>
      </c>
      <c r="K578">
        <f t="shared" si="36"/>
        <v>0.10496644803999999</v>
      </c>
    </row>
    <row r="579" spans="1:11" x14ac:dyDescent="0.35">
      <c r="A579" t="s">
        <v>57</v>
      </c>
      <c r="B579">
        <v>21207</v>
      </c>
      <c r="C579">
        <v>0.13793900000000001</v>
      </c>
      <c r="D579" s="5">
        <v>9.2476468E-5</v>
      </c>
      <c r="E579">
        <v>2.8808464999999998E-2</v>
      </c>
      <c r="F579">
        <v>6.9514000000000006E-2</v>
      </c>
      <c r="G579" t="s">
        <v>206</v>
      </c>
      <c r="I579">
        <f t="shared" si="34"/>
        <v>0.137846523532</v>
      </c>
      <c r="J579">
        <f t="shared" si="35"/>
        <v>2.8715988531999997E-2</v>
      </c>
      <c r="K579">
        <f t="shared" si="36"/>
        <v>6.9421523532000012E-2</v>
      </c>
    </row>
    <row r="580" spans="1:11" x14ac:dyDescent="0.35">
      <c r="A580" t="s">
        <v>58</v>
      </c>
      <c r="B580">
        <v>21207</v>
      </c>
      <c r="C580">
        <v>-2.3772000000000001E-2</v>
      </c>
      <c r="D580" s="5">
        <v>1.066585E-4</v>
      </c>
      <c r="E580">
        <v>-3.5230382999999997E-2</v>
      </c>
      <c r="F580">
        <v>-1.6535000000000001E-2</v>
      </c>
      <c r="G580" t="s">
        <v>206</v>
      </c>
      <c r="I580">
        <f t="shared" si="34"/>
        <v>-2.38786585E-2</v>
      </c>
      <c r="J580">
        <f t="shared" si="35"/>
        <v>-3.5337041499999999E-2</v>
      </c>
      <c r="K580">
        <f t="shared" si="36"/>
        <v>-1.66416585E-2</v>
      </c>
    </row>
    <row r="581" spans="1:11" x14ac:dyDescent="0.35">
      <c r="A581" t="s">
        <v>59</v>
      </c>
      <c r="B581">
        <v>21207</v>
      </c>
      <c r="C581">
        <v>-1.5295E-2</v>
      </c>
      <c r="D581" s="5">
        <v>1.0027451E-4</v>
      </c>
      <c r="E581">
        <v>-4.3625202999999996E-3</v>
      </c>
      <c r="F581">
        <v>6.6476999999999994E-2</v>
      </c>
      <c r="G581" t="s">
        <v>206</v>
      </c>
      <c r="I581">
        <f t="shared" si="34"/>
        <v>-1.5395274509999999E-2</v>
      </c>
      <c r="J581">
        <f t="shared" si="35"/>
        <v>-4.4627948099999993E-3</v>
      </c>
      <c r="K581">
        <f t="shared" si="36"/>
        <v>6.6376725489999996E-2</v>
      </c>
    </row>
    <row r="582" spans="1:11" x14ac:dyDescent="0.35">
      <c r="A582" t="s">
        <v>60</v>
      </c>
      <c r="B582">
        <v>21207</v>
      </c>
      <c r="C582">
        <v>0.110997</v>
      </c>
      <c r="D582" s="5">
        <v>7.2702277999999997E-5</v>
      </c>
      <c r="E582">
        <v>-6.2072418999999997E-2</v>
      </c>
      <c r="F582">
        <v>0.108416</v>
      </c>
      <c r="G582" t="s">
        <v>206</v>
      </c>
      <c r="I582">
        <f t="shared" si="34"/>
        <v>0.11092429772199999</v>
      </c>
      <c r="J582">
        <f t="shared" si="35"/>
        <v>-6.2145121277999996E-2</v>
      </c>
      <c r="K582">
        <f t="shared" si="36"/>
        <v>0.10834329772199999</v>
      </c>
    </row>
    <row r="583" spans="1:11" x14ac:dyDescent="0.35">
      <c r="A583" t="s">
        <v>61</v>
      </c>
      <c r="B583">
        <v>21207</v>
      </c>
      <c r="C583">
        <v>-5.6773999999999998E-2</v>
      </c>
      <c r="D583" s="5">
        <v>4.3220585000000003E-5</v>
      </c>
      <c r="E583">
        <v>-2.1622278000000002E-2</v>
      </c>
      <c r="F583">
        <v>5.2297999999999997E-2</v>
      </c>
      <c r="G583" t="s">
        <v>206</v>
      </c>
      <c r="I583">
        <f t="shared" si="34"/>
        <v>-5.6817220585000001E-2</v>
      </c>
      <c r="J583">
        <f t="shared" si="35"/>
        <v>-2.1665498585000002E-2</v>
      </c>
      <c r="K583">
        <f t="shared" si="36"/>
        <v>5.2254779414999994E-2</v>
      </c>
    </row>
    <row r="584" spans="1:11" x14ac:dyDescent="0.35">
      <c r="A584" t="s">
        <v>62</v>
      </c>
      <c r="B584">
        <v>21207</v>
      </c>
      <c r="C584">
        <v>-0.112761</v>
      </c>
      <c r="D584" s="5">
        <v>5.6849163000000003E-5</v>
      </c>
      <c r="E584">
        <v>-1.0335677999999999E-2</v>
      </c>
      <c r="F584">
        <v>-5.9991999999999997E-2</v>
      </c>
      <c r="G584" t="s">
        <v>206</v>
      </c>
      <c r="I584">
        <f t="shared" si="34"/>
        <v>-0.112817849163</v>
      </c>
      <c r="J584">
        <f t="shared" si="35"/>
        <v>-1.0392527162999999E-2</v>
      </c>
      <c r="K584">
        <f t="shared" si="36"/>
        <v>-6.0048849162999997E-2</v>
      </c>
    </row>
    <row r="585" spans="1:11" x14ac:dyDescent="0.35">
      <c r="A585" t="s">
        <v>63</v>
      </c>
      <c r="B585">
        <v>21207</v>
      </c>
      <c r="C585">
        <v>-2.4062E-2</v>
      </c>
      <c r="D585" s="5">
        <v>3.2929674E-5</v>
      </c>
      <c r="E585">
        <v>5.1065567999999999E-2</v>
      </c>
      <c r="F585">
        <v>-4.1588E-2</v>
      </c>
      <c r="G585" t="s">
        <v>206</v>
      </c>
      <c r="I585">
        <f t="shared" si="34"/>
        <v>-2.4094929673999999E-2</v>
      </c>
      <c r="J585">
        <f t="shared" si="35"/>
        <v>5.1032638325999996E-2</v>
      </c>
      <c r="K585">
        <f t="shared" si="36"/>
        <v>-4.1620929674000003E-2</v>
      </c>
    </row>
    <row r="586" spans="1:11" x14ac:dyDescent="0.35">
      <c r="A586" t="s">
        <v>64</v>
      </c>
      <c r="B586">
        <v>21207</v>
      </c>
      <c r="C586">
        <v>7.5095999999999996E-2</v>
      </c>
      <c r="D586" s="5">
        <v>2.903705E-5</v>
      </c>
      <c r="E586">
        <v>2.3818125999999998E-2</v>
      </c>
      <c r="F586">
        <v>9.2320000000000006E-3</v>
      </c>
      <c r="G586" t="s">
        <v>206</v>
      </c>
      <c r="I586">
        <f t="shared" si="34"/>
        <v>7.5066962949999996E-2</v>
      </c>
      <c r="J586">
        <f t="shared" si="35"/>
        <v>2.3789088949999999E-2</v>
      </c>
      <c r="K586">
        <f t="shared" si="36"/>
        <v>9.2029629500000008E-3</v>
      </c>
    </row>
    <row r="587" spans="1:11" x14ac:dyDescent="0.35">
      <c r="A587" t="s">
        <v>65</v>
      </c>
      <c r="B587">
        <v>21207</v>
      </c>
      <c r="C587">
        <v>9.9515999999999993E-2</v>
      </c>
      <c r="D587" s="5">
        <v>5.4623592999999997E-5</v>
      </c>
      <c r="E587">
        <v>-7.8533299000000001E-2</v>
      </c>
      <c r="F587">
        <v>4.5169000000000001E-2</v>
      </c>
      <c r="G587" t="s">
        <v>206</v>
      </c>
      <c r="I587">
        <f t="shared" si="34"/>
        <v>9.9461376406999993E-2</v>
      </c>
      <c r="J587">
        <f t="shared" si="35"/>
        <v>-7.8587922593000001E-2</v>
      </c>
      <c r="K587">
        <f t="shared" si="36"/>
        <v>4.5114376407000001E-2</v>
      </c>
    </row>
    <row r="588" spans="1:11" x14ac:dyDescent="0.35">
      <c r="A588" t="s">
        <v>66</v>
      </c>
      <c r="B588">
        <v>21207</v>
      </c>
      <c r="C588">
        <v>-8.0520999999999995E-2</v>
      </c>
      <c r="D588" s="5">
        <v>4.1826541000000002E-5</v>
      </c>
      <c r="E588">
        <v>-1.3053237000000001E-2</v>
      </c>
      <c r="F588">
        <v>-1.4442E-2</v>
      </c>
      <c r="G588" t="s">
        <v>206</v>
      </c>
      <c r="I588">
        <f t="shared" si="34"/>
        <v>-8.0562826540999999E-2</v>
      </c>
      <c r="J588">
        <f t="shared" si="35"/>
        <v>-1.3095063541000001E-2</v>
      </c>
      <c r="K588">
        <f t="shared" si="36"/>
        <v>-1.4483826541E-2</v>
      </c>
    </row>
    <row r="589" spans="1:11" x14ac:dyDescent="0.35">
      <c r="A589" t="s">
        <v>67</v>
      </c>
      <c r="B589">
        <v>21207</v>
      </c>
      <c r="C589">
        <v>-5.9632999999999999E-2</v>
      </c>
      <c r="D589" s="5">
        <v>4.1830043999999998E-5</v>
      </c>
      <c r="E589">
        <v>1.0535574000000001E-2</v>
      </c>
      <c r="F589">
        <v>-9.2917E-2</v>
      </c>
      <c r="G589" t="s">
        <v>206</v>
      </c>
      <c r="I589">
        <f t="shared" si="34"/>
        <v>-5.9674830043999996E-2</v>
      </c>
      <c r="J589">
        <f t="shared" si="35"/>
        <v>1.0493743956000001E-2</v>
      </c>
      <c r="K589">
        <f t="shared" si="36"/>
        <v>-9.2958830044000004E-2</v>
      </c>
    </row>
    <row r="590" spans="1:11" x14ac:dyDescent="0.35">
      <c r="A590" t="s">
        <v>68</v>
      </c>
      <c r="B590">
        <v>21207</v>
      </c>
      <c r="C590">
        <v>-0.13835900000000001</v>
      </c>
      <c r="D590" s="5">
        <v>4.4332078999999998E-5</v>
      </c>
      <c r="E590">
        <v>-9.8912783000000004E-2</v>
      </c>
      <c r="F590">
        <v>4.1120999999999998E-2</v>
      </c>
      <c r="G590" t="s">
        <v>206</v>
      </c>
      <c r="I590">
        <f t="shared" si="34"/>
        <v>-0.13840333207900002</v>
      </c>
      <c r="J590">
        <f t="shared" si="35"/>
        <v>-9.8957115078999999E-2</v>
      </c>
      <c r="K590">
        <f t="shared" si="36"/>
        <v>4.1076667920999996E-2</v>
      </c>
    </row>
    <row r="591" spans="1:11" x14ac:dyDescent="0.35">
      <c r="A591" t="s">
        <v>69</v>
      </c>
      <c r="B591">
        <v>21207</v>
      </c>
      <c r="C591">
        <v>-0.32043300000000002</v>
      </c>
      <c r="D591" s="5">
        <v>1.54194E-5</v>
      </c>
      <c r="E591">
        <v>-0.26823696000000002</v>
      </c>
      <c r="F591">
        <v>-0.16139700000000001</v>
      </c>
      <c r="G591" t="s">
        <v>206</v>
      </c>
      <c r="I591">
        <f t="shared" si="34"/>
        <v>-0.32044841940000002</v>
      </c>
      <c r="J591">
        <f t="shared" si="35"/>
        <v>-0.26825237940000002</v>
      </c>
      <c r="K591">
        <f t="shared" si="36"/>
        <v>-0.16141241940000001</v>
      </c>
    </row>
    <row r="592" spans="1:11" x14ac:dyDescent="0.35">
      <c r="A592" t="s">
        <v>70</v>
      </c>
      <c r="B592">
        <v>21207</v>
      </c>
      <c r="C592">
        <v>0.27752500000000002</v>
      </c>
      <c r="D592" s="5">
        <v>3.4029399E-6</v>
      </c>
      <c r="E592">
        <v>-6.0760938E-2</v>
      </c>
      <c r="F592">
        <v>0.12573599999999999</v>
      </c>
      <c r="G592" t="s">
        <v>206</v>
      </c>
      <c r="I592">
        <f t="shared" si="34"/>
        <v>0.27752159706010004</v>
      </c>
      <c r="J592">
        <f t="shared" si="35"/>
        <v>-6.0764340939899998E-2</v>
      </c>
      <c r="K592">
        <f t="shared" si="36"/>
        <v>0.12573259706009998</v>
      </c>
    </row>
    <row r="593" spans="1:11" x14ac:dyDescent="0.35">
      <c r="A593" t="s">
        <v>71</v>
      </c>
      <c r="B593">
        <v>21207</v>
      </c>
      <c r="C593">
        <v>0.212481</v>
      </c>
      <c r="D593" s="5">
        <v>9.7223551000000005E-7</v>
      </c>
      <c r="E593">
        <v>2.2324005000000001E-2</v>
      </c>
      <c r="F593">
        <v>7.7325000000000005E-2</v>
      </c>
      <c r="G593" t="s">
        <v>206</v>
      </c>
      <c r="I593">
        <f t="shared" si="34"/>
        <v>0.21248002776449001</v>
      </c>
      <c r="J593">
        <f t="shared" si="35"/>
        <v>2.2323032764490002E-2</v>
      </c>
      <c r="K593">
        <f t="shared" si="36"/>
        <v>7.7324027764490003E-2</v>
      </c>
    </row>
    <row r="594" spans="1:11" x14ac:dyDescent="0.35">
      <c r="A594" t="s">
        <v>72</v>
      </c>
      <c r="B594">
        <v>21207</v>
      </c>
      <c r="C594">
        <v>-2.2603999999999999E-2</v>
      </c>
      <c r="D594" s="5">
        <v>4.1666856999999999E-7</v>
      </c>
      <c r="E594">
        <v>-7.8490331999999996E-2</v>
      </c>
      <c r="F594">
        <v>5.5363000000000002E-2</v>
      </c>
      <c r="G594" t="s">
        <v>206</v>
      </c>
      <c r="I594">
        <f t="shared" si="34"/>
        <v>-2.260441666857E-2</v>
      </c>
      <c r="J594">
        <f t="shared" si="35"/>
        <v>-7.849074866856999E-2</v>
      </c>
      <c r="K594">
        <f t="shared" si="36"/>
        <v>5.5362583331430001E-2</v>
      </c>
    </row>
    <row r="595" spans="1:11" x14ac:dyDescent="0.35">
      <c r="A595" t="s">
        <v>73</v>
      </c>
      <c r="B595">
        <v>21207</v>
      </c>
      <c r="C595">
        <v>4.6505999999999999E-2</v>
      </c>
      <c r="D595" s="5">
        <v>4.1669009000000002E-6</v>
      </c>
      <c r="E595">
        <v>-0.10050758</v>
      </c>
      <c r="F595">
        <v>1.4456E-2</v>
      </c>
      <c r="G595" t="s">
        <v>206</v>
      </c>
      <c r="I595">
        <f t="shared" si="34"/>
        <v>4.6501833099099998E-2</v>
      </c>
      <c r="J595">
        <f t="shared" si="35"/>
        <v>-0.10051174690089999</v>
      </c>
      <c r="K595">
        <f t="shared" si="36"/>
        <v>1.44518330991E-2</v>
      </c>
    </row>
    <row r="596" spans="1:11" x14ac:dyDescent="0.35">
      <c r="A596" t="s">
        <v>74</v>
      </c>
      <c r="B596">
        <v>21207</v>
      </c>
      <c r="C596">
        <v>7.7588000000000004E-2</v>
      </c>
      <c r="D596" s="5">
        <v>4.4447111E-6</v>
      </c>
      <c r="E596">
        <v>8.7015814999999996E-2</v>
      </c>
      <c r="F596">
        <v>-2.537E-2</v>
      </c>
      <c r="G596" t="s">
        <v>206</v>
      </c>
      <c r="I596">
        <f t="shared" si="34"/>
        <v>7.75835552889E-2</v>
      </c>
      <c r="J596">
        <f t="shared" si="35"/>
        <v>8.7011370288899992E-2</v>
      </c>
      <c r="K596">
        <f t="shared" si="36"/>
        <v>-2.5374444711100001E-2</v>
      </c>
    </row>
    <row r="597" spans="1:11" x14ac:dyDescent="0.35">
      <c r="A597" t="s">
        <v>75</v>
      </c>
      <c r="B597">
        <v>21207</v>
      </c>
      <c r="C597">
        <v>-0.100983</v>
      </c>
      <c r="D597" s="5">
        <v>3.7501618E-6</v>
      </c>
      <c r="E597">
        <v>0.10942493</v>
      </c>
      <c r="F597">
        <v>-3.3341000000000003E-2</v>
      </c>
      <c r="G597" t="s">
        <v>206</v>
      </c>
      <c r="I597">
        <f t="shared" si="34"/>
        <v>-0.1009867501618</v>
      </c>
      <c r="J597">
        <f t="shared" si="35"/>
        <v>0.1094211798382</v>
      </c>
      <c r="K597">
        <f t="shared" si="36"/>
        <v>-3.3344750161800003E-2</v>
      </c>
    </row>
    <row r="598" spans="1:11" x14ac:dyDescent="0.35">
      <c r="A598" t="s">
        <v>76</v>
      </c>
      <c r="B598">
        <v>21207</v>
      </c>
      <c r="C598">
        <v>0.21446299999999999</v>
      </c>
      <c r="D598" s="5">
        <v>1.2500218999999999E-6</v>
      </c>
      <c r="E598">
        <v>6.7855342999999999E-2</v>
      </c>
      <c r="F598">
        <v>0.102326</v>
      </c>
      <c r="G598" t="s">
        <v>206</v>
      </c>
      <c r="I598">
        <f t="shared" si="34"/>
        <v>0.2144617499781</v>
      </c>
      <c r="J598">
        <f t="shared" si="35"/>
        <v>6.7854092978099995E-2</v>
      </c>
      <c r="K598">
        <f t="shared" si="36"/>
        <v>0.1023247499781</v>
      </c>
    </row>
    <row r="599" spans="1:11" x14ac:dyDescent="0.35">
      <c r="A599" t="s">
        <v>77</v>
      </c>
      <c r="B599">
        <v>21207</v>
      </c>
      <c r="C599">
        <v>-0.16165299999999999</v>
      </c>
      <c r="D599" s="5">
        <v>4.1669009000000002E-6</v>
      </c>
      <c r="E599">
        <v>-3.0959923999999998E-3</v>
      </c>
      <c r="F599">
        <v>-5.2183E-2</v>
      </c>
      <c r="G599" t="s">
        <v>206</v>
      </c>
      <c r="I599">
        <f t="shared" si="34"/>
        <v>-0.16165716690089998</v>
      </c>
      <c r="J599">
        <f t="shared" si="35"/>
        <v>-3.1001593008999997E-3</v>
      </c>
      <c r="K599">
        <f t="shared" si="36"/>
        <v>-5.2187166900900001E-2</v>
      </c>
    </row>
    <row r="600" spans="1:11" x14ac:dyDescent="0.35">
      <c r="A600" t="s">
        <v>78</v>
      </c>
      <c r="B600">
        <v>21207</v>
      </c>
      <c r="C600">
        <v>1.1745E-2</v>
      </c>
      <c r="D600" s="5">
        <v>3.472361E-6</v>
      </c>
      <c r="E600">
        <v>8.1810951000000007E-2</v>
      </c>
      <c r="F600">
        <v>2.3799000000000001E-2</v>
      </c>
      <c r="G600" t="s">
        <v>206</v>
      </c>
      <c r="I600">
        <f t="shared" si="34"/>
        <v>1.1741527639E-2</v>
      </c>
      <c r="J600">
        <f t="shared" si="35"/>
        <v>8.1807478639000009E-2</v>
      </c>
      <c r="K600">
        <f t="shared" si="36"/>
        <v>2.3795527638999999E-2</v>
      </c>
    </row>
    <row r="601" spans="1:11" x14ac:dyDescent="0.35">
      <c r="A601" t="s">
        <v>79</v>
      </c>
      <c r="B601">
        <v>21207</v>
      </c>
      <c r="C601">
        <v>-2.8053000000000002E-2</v>
      </c>
      <c r="D601" s="5">
        <v>3.7501898E-6</v>
      </c>
      <c r="E601">
        <v>3.1335082E-2</v>
      </c>
      <c r="F601">
        <v>5.3600000000000002E-4</v>
      </c>
      <c r="G601" t="s">
        <v>206</v>
      </c>
      <c r="I601">
        <f t="shared" si="34"/>
        <v>-2.80567501898E-2</v>
      </c>
      <c r="J601">
        <f t="shared" si="35"/>
        <v>3.1331331810200001E-2</v>
      </c>
      <c r="K601">
        <f t="shared" si="36"/>
        <v>5.3224981020000002E-4</v>
      </c>
    </row>
    <row r="602" spans="1:11" x14ac:dyDescent="0.35">
      <c r="A602" t="s">
        <v>80</v>
      </c>
      <c r="B602">
        <v>21207</v>
      </c>
      <c r="C602">
        <v>9.7785999999999998E-2</v>
      </c>
      <c r="D602" s="5">
        <v>3.4723669000000002E-6</v>
      </c>
      <c r="E602">
        <v>4.5273893000000003E-2</v>
      </c>
      <c r="F602">
        <v>5.8351E-2</v>
      </c>
      <c r="G602" t="s">
        <v>206</v>
      </c>
      <c r="I602">
        <f t="shared" si="34"/>
        <v>9.7782527633099997E-2</v>
      </c>
      <c r="J602">
        <f t="shared" si="35"/>
        <v>4.5270420633100002E-2</v>
      </c>
      <c r="K602">
        <f t="shared" si="36"/>
        <v>5.8347527633099999E-2</v>
      </c>
    </row>
    <row r="603" spans="1:11" x14ac:dyDescent="0.35">
      <c r="A603" t="s">
        <v>81</v>
      </c>
      <c r="B603">
        <v>21207</v>
      </c>
      <c r="C603">
        <v>-1.2722000000000001E-2</v>
      </c>
      <c r="D603" s="5">
        <v>1.2500171000000001E-6</v>
      </c>
      <c r="E603">
        <v>-3.1813566000000001E-2</v>
      </c>
      <c r="F603">
        <v>3.7227999999999997E-2</v>
      </c>
      <c r="G603" t="s">
        <v>206</v>
      </c>
      <c r="I603">
        <f t="shared" si="34"/>
        <v>-1.27232500171E-2</v>
      </c>
      <c r="J603">
        <f t="shared" si="35"/>
        <v>-3.1814816017100005E-2</v>
      </c>
      <c r="K603">
        <f t="shared" si="36"/>
        <v>3.7226749982899994E-2</v>
      </c>
    </row>
    <row r="604" spans="1:11" x14ac:dyDescent="0.35">
      <c r="A604" t="s">
        <v>82</v>
      </c>
      <c r="B604">
        <v>21207</v>
      </c>
      <c r="C604">
        <v>0.234238</v>
      </c>
      <c r="D604" s="5">
        <v>8.3334305000000002E-7</v>
      </c>
      <c r="E604">
        <v>5.1395169999999997E-2</v>
      </c>
      <c r="F604">
        <v>0.12786500000000001</v>
      </c>
      <c r="G604" t="s">
        <v>206</v>
      </c>
      <c r="I604">
        <f t="shared" si="34"/>
        <v>0.23423716665694999</v>
      </c>
      <c r="J604">
        <f t="shared" si="35"/>
        <v>5.139433665695E-2</v>
      </c>
      <c r="K604">
        <f t="shared" si="36"/>
        <v>0.12786416665695</v>
      </c>
    </row>
    <row r="605" spans="1:11" x14ac:dyDescent="0.35">
      <c r="A605" t="s">
        <v>83</v>
      </c>
      <c r="B605">
        <v>21207</v>
      </c>
      <c r="C605">
        <v>-0.116145</v>
      </c>
      <c r="D605" s="5">
        <v>2.5000749999999999E-6</v>
      </c>
      <c r="E605">
        <v>2.8345333E-2</v>
      </c>
      <c r="F605">
        <v>-7.2034000000000001E-2</v>
      </c>
      <c r="G605" t="s">
        <v>206</v>
      </c>
      <c r="I605">
        <f t="shared" si="34"/>
        <v>-0.11614750007499999</v>
      </c>
      <c r="J605">
        <f t="shared" si="35"/>
        <v>2.8342832925000002E-2</v>
      </c>
      <c r="K605">
        <f t="shared" si="36"/>
        <v>-7.2036500074999996E-2</v>
      </c>
    </row>
    <row r="606" spans="1:11" x14ac:dyDescent="0.35">
      <c r="A606" t="s">
        <v>84</v>
      </c>
      <c r="B606">
        <v>21207</v>
      </c>
      <c r="C606">
        <v>-9.4060000000000005E-2</v>
      </c>
      <c r="D606" s="5">
        <v>1.5278105E-6</v>
      </c>
      <c r="E606">
        <v>-3.7133395999999999E-2</v>
      </c>
      <c r="F606">
        <v>-1.2579999999999999E-2</v>
      </c>
      <c r="G606" t="s">
        <v>206</v>
      </c>
      <c r="I606">
        <f t="shared" si="34"/>
        <v>-9.4061527810500006E-2</v>
      </c>
      <c r="J606">
        <f t="shared" si="35"/>
        <v>-3.7134923810500001E-2</v>
      </c>
      <c r="K606">
        <f t="shared" si="36"/>
        <v>-1.2581527810499999E-2</v>
      </c>
    </row>
    <row r="607" spans="1:11" x14ac:dyDescent="0.35">
      <c r="A607" t="s">
        <v>85</v>
      </c>
      <c r="B607">
        <v>21207</v>
      </c>
      <c r="C607">
        <v>0.14979000000000001</v>
      </c>
      <c r="D607" s="5">
        <v>4.1666901999999998E-7</v>
      </c>
      <c r="E607">
        <v>3.4774009000000002E-2</v>
      </c>
      <c r="F607">
        <v>3.2747999999999999E-2</v>
      </c>
      <c r="G607" t="s">
        <v>206</v>
      </c>
      <c r="I607">
        <f t="shared" si="34"/>
        <v>0.14978958333098</v>
      </c>
      <c r="J607">
        <f t="shared" si="35"/>
        <v>3.4773592330979999E-2</v>
      </c>
      <c r="K607">
        <f t="shared" si="36"/>
        <v>3.2747583330979997E-2</v>
      </c>
    </row>
    <row r="608" spans="1:11" x14ac:dyDescent="0.35">
      <c r="A608" t="s">
        <v>86</v>
      </c>
      <c r="B608">
        <v>21207</v>
      </c>
      <c r="C608">
        <v>3.5511000000000001E-2</v>
      </c>
      <c r="D608" s="5">
        <v>2.6389829999999998E-6</v>
      </c>
      <c r="E608">
        <v>6.3639558999999998E-2</v>
      </c>
      <c r="F608">
        <v>-4.3860000000000001E-3</v>
      </c>
      <c r="G608" t="s">
        <v>206</v>
      </c>
      <c r="I608">
        <f t="shared" si="34"/>
        <v>3.5508361017000001E-2</v>
      </c>
      <c r="J608">
        <f t="shared" si="35"/>
        <v>6.3636920016999998E-2</v>
      </c>
      <c r="K608">
        <f t="shared" si="36"/>
        <v>-4.3886389830000002E-3</v>
      </c>
    </row>
    <row r="609" spans="1:11" x14ac:dyDescent="0.35">
      <c r="A609" t="s">
        <v>87</v>
      </c>
      <c r="B609">
        <v>21207</v>
      </c>
      <c r="C609">
        <v>0.101119</v>
      </c>
      <c r="D609" s="5">
        <v>4.0279559999999999E-6</v>
      </c>
      <c r="E609">
        <v>2.0069690000000001E-2</v>
      </c>
      <c r="F609">
        <v>5.8833999999999997E-2</v>
      </c>
      <c r="G609" t="s">
        <v>206</v>
      </c>
      <c r="I609">
        <f t="shared" si="34"/>
        <v>0.101114972044</v>
      </c>
      <c r="J609">
        <f t="shared" si="35"/>
        <v>2.0065662044E-2</v>
      </c>
      <c r="K609">
        <f t="shared" si="36"/>
        <v>5.8829972043999999E-2</v>
      </c>
    </row>
    <row r="610" spans="1:11" x14ac:dyDescent="0.35">
      <c r="A610" t="s">
        <v>88</v>
      </c>
      <c r="B610">
        <v>21207</v>
      </c>
      <c r="C610">
        <v>-4.0300000000000002E-2</v>
      </c>
      <c r="D610" s="5">
        <v>4.1669009000000002E-6</v>
      </c>
      <c r="E610">
        <v>-7.9213500000000006E-2</v>
      </c>
      <c r="F610">
        <v>3.0522000000000001E-2</v>
      </c>
      <c r="G610" t="s">
        <v>206</v>
      </c>
      <c r="I610">
        <f t="shared" si="34"/>
        <v>-4.0304166900900003E-2</v>
      </c>
      <c r="J610">
        <f t="shared" si="35"/>
        <v>-7.92176669009E-2</v>
      </c>
      <c r="K610">
        <f t="shared" si="36"/>
        <v>3.05178330991E-2</v>
      </c>
    </row>
    <row r="611" spans="1:11" x14ac:dyDescent="0.35">
      <c r="A611" t="s">
        <v>89</v>
      </c>
      <c r="B611">
        <v>21207</v>
      </c>
      <c r="C611">
        <v>0.14901500000000001</v>
      </c>
      <c r="D611" s="5">
        <v>4.4447111E-6</v>
      </c>
      <c r="E611">
        <v>-5.0825889999999999E-2</v>
      </c>
      <c r="F611">
        <v>2.3545E-2</v>
      </c>
      <c r="G611" t="s">
        <v>206</v>
      </c>
      <c r="I611">
        <f t="shared" si="34"/>
        <v>0.1490105552889</v>
      </c>
      <c r="J611">
        <f t="shared" si="35"/>
        <v>-5.0830334711099996E-2</v>
      </c>
      <c r="K611">
        <f t="shared" si="36"/>
        <v>2.3540555288899999E-2</v>
      </c>
    </row>
    <row r="612" spans="1:11" x14ac:dyDescent="0.35">
      <c r="A612" t="s">
        <v>90</v>
      </c>
      <c r="B612">
        <v>21207</v>
      </c>
      <c r="C612">
        <v>-9.4589999999999994E-2</v>
      </c>
      <c r="D612" s="5">
        <v>3.7501547000000001E-6</v>
      </c>
      <c r="E612">
        <v>7.0217035999999997E-2</v>
      </c>
      <c r="F612">
        <v>-5.0871E-2</v>
      </c>
      <c r="G612" t="s">
        <v>206</v>
      </c>
      <c r="I612">
        <f t="shared" si="34"/>
        <v>-9.4593750154699993E-2</v>
      </c>
      <c r="J612">
        <f t="shared" si="35"/>
        <v>7.0213285845299997E-2</v>
      </c>
      <c r="K612">
        <f t="shared" si="36"/>
        <v>-5.0874750154699999E-2</v>
      </c>
    </row>
    <row r="613" spans="1:11" x14ac:dyDescent="0.35">
      <c r="A613" t="s">
        <v>91</v>
      </c>
      <c r="B613">
        <v>21207</v>
      </c>
      <c r="C613">
        <v>9.6959000000000004E-2</v>
      </c>
      <c r="D613" s="5">
        <v>4.1669009000000002E-6</v>
      </c>
      <c r="E613">
        <v>-4.2918108000000003E-2</v>
      </c>
      <c r="F613">
        <v>5.7061000000000001E-2</v>
      </c>
      <c r="G613" t="s">
        <v>206</v>
      </c>
      <c r="I613">
        <f t="shared" si="34"/>
        <v>9.695483309910001E-2</v>
      </c>
      <c r="J613">
        <f t="shared" si="35"/>
        <v>-4.2922274900900004E-2</v>
      </c>
      <c r="K613">
        <f t="shared" si="36"/>
        <v>5.70568330991E-2</v>
      </c>
    </row>
    <row r="614" spans="1:11" x14ac:dyDescent="0.35">
      <c r="A614" t="s">
        <v>92</v>
      </c>
      <c r="B614">
        <v>21207</v>
      </c>
      <c r="C614">
        <v>2.6745000000000001E-2</v>
      </c>
      <c r="D614" s="5">
        <v>4.7224784999999996E-6</v>
      </c>
      <c r="E614">
        <v>9.1566808999999999E-2</v>
      </c>
      <c r="F614">
        <v>4.7756E-2</v>
      </c>
      <c r="G614" t="s">
        <v>206</v>
      </c>
      <c r="I614">
        <f t="shared" si="34"/>
        <v>2.6740277521500003E-2</v>
      </c>
      <c r="J614">
        <f t="shared" si="35"/>
        <v>9.1562086521499997E-2</v>
      </c>
      <c r="K614">
        <f t="shared" si="36"/>
        <v>4.7751277521499998E-2</v>
      </c>
    </row>
    <row r="615" spans="1:11" x14ac:dyDescent="0.35">
      <c r="A615" t="s">
        <v>93</v>
      </c>
      <c r="B615">
        <v>21207</v>
      </c>
      <c r="C615">
        <v>-3.1046000000000001E-2</v>
      </c>
      <c r="D615" s="5">
        <v>4.3058153000000004E-6</v>
      </c>
      <c r="E615">
        <v>3.7957888000000002E-2</v>
      </c>
      <c r="F615">
        <v>3.6823000000000002E-2</v>
      </c>
      <c r="G615" t="s">
        <v>206</v>
      </c>
      <c r="I615">
        <f t="shared" si="34"/>
        <v>-3.1050305815300001E-2</v>
      </c>
      <c r="J615">
        <f t="shared" si="35"/>
        <v>3.7953582184700005E-2</v>
      </c>
      <c r="K615">
        <f t="shared" si="36"/>
        <v>3.6818694184700004E-2</v>
      </c>
    </row>
    <row r="616" spans="1:11" x14ac:dyDescent="0.35">
      <c r="A616" t="s">
        <v>94</v>
      </c>
      <c r="B616">
        <v>21207</v>
      </c>
      <c r="C616">
        <v>-3.3355000000000003E-2</v>
      </c>
      <c r="D616" s="5">
        <v>4.0280046999999999E-6</v>
      </c>
      <c r="E616">
        <v>8.7761291999999998E-3</v>
      </c>
      <c r="F616">
        <v>2.1113E-2</v>
      </c>
      <c r="G616" t="s">
        <v>206</v>
      </c>
      <c r="I616">
        <f t="shared" si="34"/>
        <v>-3.3359028004700003E-2</v>
      </c>
      <c r="J616">
        <f t="shared" si="35"/>
        <v>8.7721011952999993E-3</v>
      </c>
      <c r="K616">
        <f t="shared" si="36"/>
        <v>2.1108971995299999E-2</v>
      </c>
    </row>
    <row r="617" spans="1:11" x14ac:dyDescent="0.35">
      <c r="A617" t="s">
        <v>95</v>
      </c>
      <c r="B617">
        <v>21207</v>
      </c>
      <c r="C617">
        <v>4.6745000000000002E-2</v>
      </c>
      <c r="D617" s="5">
        <v>4.7224784999999996E-6</v>
      </c>
      <c r="E617">
        <v>6.7283355000000003E-2</v>
      </c>
      <c r="F617">
        <v>2.4368999999999998E-2</v>
      </c>
      <c r="G617" t="s">
        <v>206</v>
      </c>
      <c r="I617">
        <f t="shared" si="34"/>
        <v>4.67402775215E-2</v>
      </c>
      <c r="J617">
        <f t="shared" si="35"/>
        <v>6.7278632521500001E-2</v>
      </c>
      <c r="K617">
        <f t="shared" si="36"/>
        <v>2.43642775215E-2</v>
      </c>
    </row>
    <row r="618" spans="1:11" x14ac:dyDescent="0.35">
      <c r="A618" t="s">
        <v>96</v>
      </c>
      <c r="B618">
        <v>21207</v>
      </c>
      <c r="C618">
        <v>-0.103532</v>
      </c>
      <c r="D618" s="5">
        <v>1.5278093000000001E-6</v>
      </c>
      <c r="E618">
        <v>1.9074834999999998E-2</v>
      </c>
      <c r="F618">
        <v>-6.3797999999999994E-2</v>
      </c>
      <c r="G618" t="s">
        <v>206</v>
      </c>
      <c r="I618">
        <f t="shared" si="34"/>
        <v>-0.1035335278093</v>
      </c>
      <c r="J618">
        <f t="shared" si="35"/>
        <v>1.9073307190699999E-2</v>
      </c>
      <c r="K618">
        <f t="shared" si="36"/>
        <v>-6.3799527809299997E-2</v>
      </c>
    </row>
    <row r="619" spans="1:11" x14ac:dyDescent="0.35">
      <c r="A619" t="s">
        <v>97</v>
      </c>
      <c r="B619">
        <v>21207</v>
      </c>
      <c r="C619">
        <v>3.6319999999999998E-3</v>
      </c>
      <c r="D619" s="5">
        <v>4.1668749999999998E-6</v>
      </c>
      <c r="E619">
        <v>3.8132824000000003E-2</v>
      </c>
      <c r="F619">
        <v>5.9991000000000003E-2</v>
      </c>
      <c r="G619" t="s">
        <v>206</v>
      </c>
      <c r="I619">
        <f t="shared" si="34"/>
        <v>3.6278331249999999E-3</v>
      </c>
      <c r="J619">
        <f t="shared" si="35"/>
        <v>3.8128657125E-2</v>
      </c>
      <c r="K619">
        <f t="shared" si="36"/>
        <v>5.9986833125E-2</v>
      </c>
    </row>
    <row r="620" spans="1:11" x14ac:dyDescent="0.35">
      <c r="A620" t="s">
        <v>98</v>
      </c>
      <c r="B620">
        <v>21207</v>
      </c>
      <c r="C620">
        <v>-9.7699999999999992E-3</v>
      </c>
      <c r="D620" s="5">
        <v>3.7501688E-6</v>
      </c>
      <c r="E620">
        <v>3.4299082999999998E-3</v>
      </c>
      <c r="F620">
        <v>1.5973999999999999E-2</v>
      </c>
      <c r="G620" t="s">
        <v>206</v>
      </c>
      <c r="I620">
        <f t="shared" si="34"/>
        <v>-9.7737501687999995E-3</v>
      </c>
      <c r="J620">
        <f t="shared" si="35"/>
        <v>3.4261581312E-3</v>
      </c>
      <c r="K620">
        <f t="shared" si="36"/>
        <v>1.59702498312E-2</v>
      </c>
    </row>
    <row r="621" spans="1:11" x14ac:dyDescent="0.35">
      <c r="A621" t="s">
        <v>99</v>
      </c>
      <c r="B621">
        <v>21207</v>
      </c>
      <c r="C621">
        <v>7.3837E-2</v>
      </c>
      <c r="D621" s="5">
        <v>1.8056012E-6</v>
      </c>
      <c r="E621">
        <v>2.8691142999999999E-2</v>
      </c>
      <c r="F621">
        <v>8.9446999999999999E-2</v>
      </c>
      <c r="G621" t="s">
        <v>206</v>
      </c>
      <c r="I621">
        <f t="shared" si="34"/>
        <v>7.38351943988E-2</v>
      </c>
      <c r="J621">
        <f t="shared" si="35"/>
        <v>2.8689337398799999E-2</v>
      </c>
      <c r="K621">
        <f t="shared" si="36"/>
        <v>8.9445194398799999E-2</v>
      </c>
    </row>
    <row r="622" spans="1:11" x14ac:dyDescent="0.35">
      <c r="A622" t="s">
        <v>100</v>
      </c>
      <c r="B622">
        <v>21207</v>
      </c>
      <c r="C622">
        <v>-3.4805999999999997E-2</v>
      </c>
      <c r="D622" s="5">
        <v>8.3334270999999995E-7</v>
      </c>
      <c r="E622">
        <v>-1.4824624999999999E-2</v>
      </c>
      <c r="F622">
        <v>-1.7916999999999999E-2</v>
      </c>
      <c r="G622" t="s">
        <v>206</v>
      </c>
      <c r="I622">
        <f t="shared" si="34"/>
        <v>-3.4806833342709995E-2</v>
      </c>
      <c r="J622">
        <f t="shared" si="35"/>
        <v>-1.4825458342709999E-2</v>
      </c>
      <c r="K622">
        <f t="shared" si="36"/>
        <v>-1.791783334271E-2</v>
      </c>
    </row>
    <row r="623" spans="1:11" x14ac:dyDescent="0.35">
      <c r="A623" t="s">
        <v>101</v>
      </c>
      <c r="B623">
        <v>21207</v>
      </c>
      <c r="C623">
        <v>-4.2424999999999997E-2</v>
      </c>
      <c r="D623" s="5">
        <v>1.2500179E-6</v>
      </c>
      <c r="E623">
        <v>-1.8264328999999999E-2</v>
      </c>
      <c r="F623">
        <v>-2.4317999999999999E-2</v>
      </c>
      <c r="G623" t="s">
        <v>206</v>
      </c>
      <c r="I623">
        <f t="shared" si="34"/>
        <v>-4.24262500179E-2</v>
      </c>
      <c r="J623">
        <f t="shared" si="35"/>
        <v>-1.8265579017899998E-2</v>
      </c>
      <c r="K623">
        <f t="shared" si="36"/>
        <v>-2.4319250017899998E-2</v>
      </c>
    </row>
    <row r="624" spans="1:11" x14ac:dyDescent="0.35">
      <c r="A624" t="s">
        <v>102</v>
      </c>
      <c r="B624">
        <v>21207</v>
      </c>
      <c r="C624">
        <v>3.0387000000000001E-2</v>
      </c>
      <c r="D624" s="5">
        <v>5.5555989E-7</v>
      </c>
      <c r="E624">
        <v>-2.2433277000000001E-2</v>
      </c>
      <c r="F624">
        <v>8.4170999999999996E-2</v>
      </c>
      <c r="G624" t="s">
        <v>206</v>
      </c>
      <c r="I624">
        <f t="shared" si="34"/>
        <v>3.0386444440109999E-2</v>
      </c>
      <c r="J624">
        <f t="shared" si="35"/>
        <v>-2.2433832559890003E-2</v>
      </c>
      <c r="K624">
        <f t="shared" si="36"/>
        <v>8.4170444440110001E-2</v>
      </c>
    </row>
    <row r="625" spans="1:11" x14ac:dyDescent="0.35">
      <c r="A625" t="s">
        <v>103</v>
      </c>
      <c r="B625">
        <v>21207</v>
      </c>
      <c r="C625">
        <v>0.126056</v>
      </c>
      <c r="D625" s="5">
        <v>5.0003378000000001E-6</v>
      </c>
      <c r="E625">
        <v>-5.7314354999999997E-2</v>
      </c>
      <c r="F625">
        <v>0.122749</v>
      </c>
      <c r="G625" t="s">
        <v>206</v>
      </c>
      <c r="I625">
        <f t="shared" si="34"/>
        <v>0.12605099966220001</v>
      </c>
      <c r="J625">
        <f t="shared" si="35"/>
        <v>-5.7319355337799999E-2</v>
      </c>
      <c r="K625">
        <f t="shared" si="36"/>
        <v>0.1227439996622</v>
      </c>
    </row>
    <row r="626" spans="1:11" x14ac:dyDescent="0.35">
      <c r="A626" t="s">
        <v>104</v>
      </c>
      <c r="B626">
        <v>21207</v>
      </c>
      <c r="C626">
        <v>1.0061E-2</v>
      </c>
      <c r="D626" s="5">
        <v>4.1666856999999999E-7</v>
      </c>
      <c r="E626">
        <v>-8.4963291999999996E-2</v>
      </c>
      <c r="F626">
        <v>-0.110623</v>
      </c>
      <c r="G626" t="s">
        <v>206</v>
      </c>
      <c r="I626">
        <f t="shared" si="34"/>
        <v>1.0060583331430001E-2</v>
      </c>
      <c r="J626">
        <f t="shared" si="35"/>
        <v>-8.496370866856999E-2</v>
      </c>
      <c r="K626">
        <f t="shared" si="36"/>
        <v>-0.11062341666856999</v>
      </c>
    </row>
    <row r="627" spans="1:11" x14ac:dyDescent="0.35">
      <c r="A627" t="s">
        <v>105</v>
      </c>
      <c r="B627">
        <v>21207</v>
      </c>
      <c r="C627">
        <v>6.1636000000000003E-2</v>
      </c>
      <c r="D627" s="5">
        <v>5.5555972000000002E-7</v>
      </c>
      <c r="E627">
        <v>7.7098571000000005E-2</v>
      </c>
      <c r="F627">
        <v>5.8712E-2</v>
      </c>
      <c r="G627" t="s">
        <v>206</v>
      </c>
      <c r="I627">
        <f t="shared" si="34"/>
        <v>6.1635444440280004E-2</v>
      </c>
      <c r="J627">
        <f t="shared" si="35"/>
        <v>7.7098015440279999E-2</v>
      </c>
      <c r="K627">
        <f t="shared" si="36"/>
        <v>5.8711444440280001E-2</v>
      </c>
    </row>
    <row r="628" spans="1:11" x14ac:dyDescent="0.35">
      <c r="A628" t="s">
        <v>106</v>
      </c>
      <c r="B628">
        <v>21207</v>
      </c>
      <c r="C628">
        <v>3.0675000000000001E-2</v>
      </c>
      <c r="D628" s="5">
        <v>6.9445048000000002E-7</v>
      </c>
      <c r="E628">
        <v>-2.5843721E-2</v>
      </c>
      <c r="F628">
        <v>1.6673E-2</v>
      </c>
      <c r="G628" t="s">
        <v>206</v>
      </c>
      <c r="I628">
        <f t="shared" si="34"/>
        <v>3.0674305549520001E-2</v>
      </c>
      <c r="J628">
        <f t="shared" si="35"/>
        <v>-2.584441545048E-2</v>
      </c>
      <c r="K628">
        <f t="shared" si="36"/>
        <v>1.6672305549520001E-2</v>
      </c>
    </row>
    <row r="629" spans="1:11" x14ac:dyDescent="0.35">
      <c r="A629" t="s">
        <v>107</v>
      </c>
      <c r="B629">
        <v>21207</v>
      </c>
      <c r="C629">
        <v>-0.123693</v>
      </c>
      <c r="D629" s="5">
        <v>1.6666698E-7</v>
      </c>
      <c r="E629">
        <v>3.7129038999999999E-3</v>
      </c>
      <c r="F629">
        <v>-0.106624</v>
      </c>
      <c r="G629" t="s">
        <v>206</v>
      </c>
      <c r="I629">
        <f t="shared" si="34"/>
        <v>-0.12369316666697999</v>
      </c>
      <c r="J629">
        <f t="shared" si="35"/>
        <v>3.7127372330199998E-3</v>
      </c>
      <c r="K629">
        <f t="shared" si="36"/>
        <v>-0.10662416666697999</v>
      </c>
    </row>
    <row r="630" spans="1:11" x14ac:dyDescent="0.35">
      <c r="A630" t="s">
        <v>108</v>
      </c>
      <c r="B630">
        <v>21207</v>
      </c>
      <c r="C630">
        <v>2.4496E-2</v>
      </c>
      <c r="D630" s="5">
        <v>4.1666901999999998E-7</v>
      </c>
      <c r="E630">
        <v>5.4102684999999998E-2</v>
      </c>
      <c r="F630">
        <v>0.113955</v>
      </c>
      <c r="G630" t="s">
        <v>206</v>
      </c>
      <c r="I630">
        <f t="shared" si="34"/>
        <v>2.4495583330980002E-2</v>
      </c>
      <c r="J630">
        <f t="shared" si="35"/>
        <v>5.4102268330979995E-2</v>
      </c>
      <c r="K630">
        <f t="shared" si="36"/>
        <v>0.11395458333098001</v>
      </c>
    </row>
    <row r="631" spans="1:11" x14ac:dyDescent="0.35">
      <c r="A631" t="s">
        <v>109</v>
      </c>
      <c r="B631">
        <v>21207</v>
      </c>
      <c r="C631">
        <v>-3.3425999999999997E-2</v>
      </c>
      <c r="D631" s="5">
        <v>1.6666986000000001E-6</v>
      </c>
      <c r="E631">
        <v>4.1180659000000001E-2</v>
      </c>
      <c r="F631">
        <v>-2.9673000000000001E-2</v>
      </c>
      <c r="G631" t="s">
        <v>206</v>
      </c>
      <c r="I631">
        <f t="shared" si="34"/>
        <v>-3.3427666698599999E-2</v>
      </c>
      <c r="J631">
        <f t="shared" si="35"/>
        <v>4.11789923014E-2</v>
      </c>
      <c r="K631">
        <f t="shared" si="36"/>
        <v>-2.9674666698600003E-2</v>
      </c>
    </row>
    <row r="632" spans="1:11" x14ac:dyDescent="0.35">
      <c r="A632" t="s">
        <v>110</v>
      </c>
      <c r="B632">
        <v>21207</v>
      </c>
      <c r="C632">
        <v>-0.13134199999999999</v>
      </c>
      <c r="D632" s="5">
        <v>1.1111247000000001E-6</v>
      </c>
      <c r="E632">
        <v>2.4026984000000001E-2</v>
      </c>
      <c r="F632">
        <v>-1.3184E-2</v>
      </c>
      <c r="G632" t="s">
        <v>206</v>
      </c>
      <c r="I632">
        <f t="shared" si="34"/>
        <v>-0.13134311112469998</v>
      </c>
      <c r="J632">
        <f t="shared" si="35"/>
        <v>2.4025872875300003E-2</v>
      </c>
      <c r="K632">
        <f t="shared" si="36"/>
        <v>-1.31851111247E-2</v>
      </c>
    </row>
    <row r="633" spans="1:11" x14ac:dyDescent="0.35">
      <c r="A633" t="s">
        <v>111</v>
      </c>
      <c r="B633">
        <v>21207</v>
      </c>
      <c r="C633">
        <v>-7.0607000000000003E-2</v>
      </c>
      <c r="D633" s="5">
        <v>9.722349400000001E-7</v>
      </c>
      <c r="E633">
        <v>-6.8070008E-3</v>
      </c>
      <c r="F633">
        <v>-1.48E-3</v>
      </c>
      <c r="G633" t="s">
        <v>206</v>
      </c>
      <c r="I633">
        <f t="shared" si="34"/>
        <v>-7.0607972234940003E-2</v>
      </c>
      <c r="J633">
        <f t="shared" si="35"/>
        <v>-6.8079730349399998E-3</v>
      </c>
      <c r="K633">
        <f t="shared" si="36"/>
        <v>-1.4809722349400001E-3</v>
      </c>
    </row>
    <row r="634" spans="1:11" x14ac:dyDescent="0.35">
      <c r="A634" t="s">
        <v>112</v>
      </c>
      <c r="B634">
        <v>21207</v>
      </c>
      <c r="C634">
        <v>-1.0283E-2</v>
      </c>
      <c r="D634" s="5">
        <v>1.8055947E-6</v>
      </c>
      <c r="E634">
        <v>-6.5889180000000006E-2</v>
      </c>
      <c r="F634">
        <v>-6.3380000000000006E-2</v>
      </c>
      <c r="G634" t="s">
        <v>206</v>
      </c>
      <c r="I634">
        <f t="shared" si="34"/>
        <v>-1.02848055947E-2</v>
      </c>
      <c r="J634">
        <f t="shared" si="35"/>
        <v>-6.5890985594700011E-2</v>
      </c>
      <c r="K634">
        <f t="shared" si="36"/>
        <v>-6.3381805594700011E-2</v>
      </c>
    </row>
    <row r="635" spans="1:11" x14ac:dyDescent="0.35">
      <c r="A635" t="s">
        <v>113</v>
      </c>
      <c r="B635">
        <v>21207</v>
      </c>
      <c r="C635">
        <v>3.6047000000000003E-2</v>
      </c>
      <c r="D635" s="5">
        <v>8.3334305000000002E-7</v>
      </c>
      <c r="E635">
        <v>3.8209856E-2</v>
      </c>
      <c r="F635">
        <v>2.3546000000000001E-2</v>
      </c>
      <c r="G635" t="s">
        <v>206</v>
      </c>
      <c r="I635">
        <f t="shared" ref="I635:I698" si="37">C635-D635</f>
        <v>3.6046166656950006E-2</v>
      </c>
      <c r="J635">
        <f t="shared" ref="J635:J698" si="38">E635-D635</f>
        <v>3.8209022656950004E-2</v>
      </c>
      <c r="K635">
        <f t="shared" ref="K635:K698" si="39">F635-D635</f>
        <v>2.3545166656950001E-2</v>
      </c>
    </row>
    <row r="636" spans="1:11" x14ac:dyDescent="0.35">
      <c r="A636" t="s">
        <v>114</v>
      </c>
      <c r="B636">
        <v>21207</v>
      </c>
      <c r="C636">
        <v>-8.3281999999999995E-2</v>
      </c>
      <c r="D636" s="5">
        <v>9.722349400000001E-7</v>
      </c>
      <c r="E636">
        <v>1.0293739999999999E-2</v>
      </c>
      <c r="F636">
        <v>8.3770000000000008E-3</v>
      </c>
      <c r="G636" t="s">
        <v>206</v>
      </c>
      <c r="I636">
        <f t="shared" si="37"/>
        <v>-8.3282972234939995E-2</v>
      </c>
      <c r="J636">
        <f t="shared" si="38"/>
        <v>1.0292767765059999E-2</v>
      </c>
      <c r="K636">
        <f t="shared" si="39"/>
        <v>8.3760277650600009E-3</v>
      </c>
    </row>
    <row r="637" spans="1:11" x14ac:dyDescent="0.35">
      <c r="A637" t="s">
        <v>115</v>
      </c>
      <c r="B637">
        <v>21207</v>
      </c>
      <c r="C637">
        <v>0.13964499999999999</v>
      </c>
      <c r="D637" s="5">
        <v>1.3889111E-6</v>
      </c>
      <c r="E637">
        <v>2.6292300000000001E-2</v>
      </c>
      <c r="F637">
        <v>4.9396000000000002E-2</v>
      </c>
      <c r="G637" t="s">
        <v>206</v>
      </c>
      <c r="I637">
        <f t="shared" si="37"/>
        <v>0.1396436110889</v>
      </c>
      <c r="J637">
        <f t="shared" si="38"/>
        <v>2.6290911088900002E-2</v>
      </c>
      <c r="K637">
        <f t="shared" si="39"/>
        <v>4.9394611088900003E-2</v>
      </c>
    </row>
    <row r="638" spans="1:11" x14ac:dyDescent="0.35">
      <c r="A638" t="s">
        <v>116</v>
      </c>
      <c r="B638">
        <v>21207</v>
      </c>
      <c r="C638">
        <v>0.112174</v>
      </c>
      <c r="D638" s="5">
        <v>2.3611862999999998E-6</v>
      </c>
      <c r="E638">
        <v>2.6509768999999999E-2</v>
      </c>
      <c r="F638">
        <v>4.6705999999999998E-2</v>
      </c>
      <c r="G638" t="s">
        <v>206</v>
      </c>
      <c r="I638">
        <f t="shared" si="37"/>
        <v>0.1121716388137</v>
      </c>
      <c r="J638">
        <f t="shared" si="38"/>
        <v>2.65074078137E-2</v>
      </c>
      <c r="K638">
        <f t="shared" si="39"/>
        <v>4.6703638813699995E-2</v>
      </c>
    </row>
    <row r="639" spans="1:11" x14ac:dyDescent="0.35">
      <c r="A639" t="s">
        <v>117</v>
      </c>
      <c r="B639">
        <v>21207</v>
      </c>
      <c r="C639">
        <v>-2.5617999999999998E-2</v>
      </c>
      <c r="D639" s="5">
        <v>1.5278093000000001E-6</v>
      </c>
      <c r="E639">
        <v>-1.0423534999999999E-2</v>
      </c>
      <c r="F639">
        <v>-2.9437000000000001E-2</v>
      </c>
      <c r="G639" t="s">
        <v>206</v>
      </c>
      <c r="I639">
        <f t="shared" si="37"/>
        <v>-2.5619527809299998E-2</v>
      </c>
      <c r="J639">
        <f t="shared" si="38"/>
        <v>-1.0425062809299999E-2</v>
      </c>
      <c r="K639">
        <f t="shared" si="39"/>
        <v>-2.9438527809300001E-2</v>
      </c>
    </row>
    <row r="640" spans="1:11" x14ac:dyDescent="0.35">
      <c r="A640" t="s">
        <v>118</v>
      </c>
      <c r="B640">
        <v>21207</v>
      </c>
      <c r="C640">
        <v>-0.13722999999999999</v>
      </c>
      <c r="D640" s="5">
        <v>2.7778665000000001E-6</v>
      </c>
      <c r="E640">
        <v>6.5123695000000002E-3</v>
      </c>
      <c r="F640">
        <v>-4.6750000000000003E-3</v>
      </c>
      <c r="G640" t="s">
        <v>206</v>
      </c>
      <c r="I640">
        <f t="shared" si="37"/>
        <v>-0.13723277786649998</v>
      </c>
      <c r="J640">
        <f t="shared" si="38"/>
        <v>6.5095916335000002E-3</v>
      </c>
      <c r="K640">
        <f t="shared" si="39"/>
        <v>-4.6777778665000004E-3</v>
      </c>
    </row>
    <row r="641" spans="1:11" x14ac:dyDescent="0.35">
      <c r="A641" t="s">
        <v>119</v>
      </c>
      <c r="B641">
        <v>21207</v>
      </c>
      <c r="C641">
        <v>-6.3709999999999999E-3</v>
      </c>
      <c r="D641" s="5">
        <v>3.1945822000000001E-6</v>
      </c>
      <c r="E641">
        <v>1.2589275E-2</v>
      </c>
      <c r="F641">
        <v>-2.4267E-2</v>
      </c>
      <c r="G641" t="s">
        <v>206</v>
      </c>
      <c r="I641">
        <f t="shared" si="37"/>
        <v>-6.3741945821999997E-3</v>
      </c>
      <c r="J641">
        <f t="shared" si="38"/>
        <v>1.2586080417800001E-2</v>
      </c>
      <c r="K641">
        <f t="shared" si="39"/>
        <v>-2.4270194582200002E-2</v>
      </c>
    </row>
    <row r="642" spans="1:11" x14ac:dyDescent="0.35">
      <c r="A642" t="s">
        <v>120</v>
      </c>
      <c r="B642">
        <v>21207</v>
      </c>
      <c r="C642">
        <v>-7.4935000000000002E-2</v>
      </c>
      <c r="D642" s="5">
        <v>5.5555926999999998E-7</v>
      </c>
      <c r="E642">
        <v>5.4154015999999999E-2</v>
      </c>
      <c r="F642">
        <v>-5.0639999999999999E-3</v>
      </c>
      <c r="G642" t="s">
        <v>206</v>
      </c>
      <c r="I642">
        <f t="shared" si="37"/>
        <v>-7.4935555559270006E-2</v>
      </c>
      <c r="J642">
        <f t="shared" si="38"/>
        <v>5.4153460440730002E-2</v>
      </c>
      <c r="K642">
        <f t="shared" si="39"/>
        <v>-5.0645555592700002E-3</v>
      </c>
    </row>
    <row r="643" spans="1:11" x14ac:dyDescent="0.35">
      <c r="A643" t="s">
        <v>121</v>
      </c>
      <c r="B643">
        <v>21207</v>
      </c>
      <c r="C643">
        <v>-6.2150999999999998E-2</v>
      </c>
      <c r="D643" s="5">
        <v>1.1111283999999999E-6</v>
      </c>
      <c r="E643">
        <v>8.3725397000000007E-3</v>
      </c>
      <c r="F643">
        <v>-5.0867999999999997E-2</v>
      </c>
      <c r="G643" t="s">
        <v>206</v>
      </c>
      <c r="I643">
        <f t="shared" si="37"/>
        <v>-6.2152111128399995E-2</v>
      </c>
      <c r="J643">
        <f t="shared" si="38"/>
        <v>8.3714285716000002E-3</v>
      </c>
      <c r="K643">
        <f t="shared" si="39"/>
        <v>-5.0869111128399994E-2</v>
      </c>
    </row>
    <row r="644" spans="1:11" x14ac:dyDescent="0.35">
      <c r="A644" t="s">
        <v>122</v>
      </c>
      <c r="B644">
        <v>21207</v>
      </c>
      <c r="C644">
        <v>5.0261E-2</v>
      </c>
      <c r="D644" s="5">
        <v>2.3611892000000002E-6</v>
      </c>
      <c r="E644">
        <v>3.5316341000000001E-2</v>
      </c>
      <c r="F644">
        <v>9.6080000000000002E-3</v>
      </c>
      <c r="G644" t="s">
        <v>206</v>
      </c>
      <c r="I644">
        <f t="shared" si="37"/>
        <v>5.0258638810799998E-2</v>
      </c>
      <c r="J644">
        <f t="shared" si="38"/>
        <v>3.5313979810799999E-2</v>
      </c>
      <c r="K644">
        <f t="shared" si="39"/>
        <v>9.6056388107999997E-3</v>
      </c>
    </row>
    <row r="645" spans="1:11" x14ac:dyDescent="0.35">
      <c r="A645" t="s">
        <v>123</v>
      </c>
      <c r="B645">
        <v>21207</v>
      </c>
      <c r="C645">
        <v>-0.226546</v>
      </c>
      <c r="D645" s="5">
        <v>9.7223551000000005E-7</v>
      </c>
      <c r="E645">
        <v>1.4946403E-2</v>
      </c>
      <c r="F645">
        <v>-7.5743000000000005E-2</v>
      </c>
      <c r="G645" t="s">
        <v>206</v>
      </c>
      <c r="I645">
        <f t="shared" si="37"/>
        <v>-0.22654697223550999</v>
      </c>
      <c r="J645">
        <f t="shared" si="38"/>
        <v>1.494543076449E-2</v>
      </c>
      <c r="K645">
        <f t="shared" si="39"/>
        <v>-7.5743972235510007E-2</v>
      </c>
    </row>
    <row r="646" spans="1:11" x14ac:dyDescent="0.35">
      <c r="A646" t="s">
        <v>124</v>
      </c>
      <c r="B646">
        <v>21207</v>
      </c>
      <c r="C646">
        <v>5.8025E-2</v>
      </c>
      <c r="D646" s="5">
        <v>9.7223312000000006E-7</v>
      </c>
      <c r="E646">
        <v>1.9178807999999999E-2</v>
      </c>
      <c r="F646">
        <v>-6.1988000000000001E-2</v>
      </c>
      <c r="G646" t="s">
        <v>206</v>
      </c>
      <c r="I646">
        <f t="shared" si="37"/>
        <v>5.8024027766880003E-2</v>
      </c>
      <c r="J646">
        <f t="shared" si="38"/>
        <v>1.9177835766879998E-2</v>
      </c>
      <c r="K646">
        <f t="shared" si="39"/>
        <v>-6.1988972233119999E-2</v>
      </c>
    </row>
    <row r="647" spans="1:11" x14ac:dyDescent="0.35">
      <c r="A647" t="s">
        <v>125</v>
      </c>
      <c r="B647">
        <v>21207</v>
      </c>
      <c r="C647">
        <v>-0.116103</v>
      </c>
      <c r="D647" s="5">
        <v>5.5555972000000002E-7</v>
      </c>
      <c r="E647">
        <v>-1.5042944000000001E-2</v>
      </c>
      <c r="F647">
        <v>-0.11058800000000001</v>
      </c>
      <c r="G647" t="s">
        <v>206</v>
      </c>
      <c r="I647">
        <f t="shared" si="37"/>
        <v>-0.11610355555972</v>
      </c>
      <c r="J647">
        <f t="shared" si="38"/>
        <v>-1.5043499559720001E-2</v>
      </c>
      <c r="K647">
        <f t="shared" si="39"/>
        <v>-0.11058855555972001</v>
      </c>
    </row>
    <row r="648" spans="1:11" x14ac:dyDescent="0.35">
      <c r="A648" t="s">
        <v>126</v>
      </c>
      <c r="B648">
        <v>21207</v>
      </c>
      <c r="C648">
        <v>1.6689999999999999E-3</v>
      </c>
      <c r="D648" s="5">
        <v>1.3888915000000001E-7</v>
      </c>
      <c r="E648">
        <v>5.2630160000000002E-2</v>
      </c>
      <c r="F648">
        <v>7.4301000000000006E-2</v>
      </c>
      <c r="G648" t="s">
        <v>206</v>
      </c>
      <c r="I648">
        <f t="shared" si="37"/>
        <v>1.66886111085E-3</v>
      </c>
      <c r="J648">
        <f t="shared" si="38"/>
        <v>5.2630021110850002E-2</v>
      </c>
      <c r="K648">
        <f t="shared" si="39"/>
        <v>7.4300861110850006E-2</v>
      </c>
    </row>
    <row r="649" spans="1:11" x14ac:dyDescent="0.35">
      <c r="A649" t="s">
        <v>127</v>
      </c>
      <c r="B649">
        <v>21207</v>
      </c>
      <c r="C649">
        <v>5.8999999999999997E-2</v>
      </c>
      <c r="D649" s="5">
        <v>2.7777863999999998E-7</v>
      </c>
      <c r="E649">
        <v>-2.5734027999999999E-2</v>
      </c>
      <c r="F649">
        <v>5.2047000000000003E-2</v>
      </c>
      <c r="G649" t="s">
        <v>206</v>
      </c>
      <c r="I649">
        <f t="shared" si="37"/>
        <v>5.8999722221359997E-2</v>
      </c>
      <c r="J649">
        <f t="shared" si="38"/>
        <v>-2.5734305778639999E-2</v>
      </c>
      <c r="K649">
        <f t="shared" si="39"/>
        <v>5.2046722221360003E-2</v>
      </c>
    </row>
    <row r="650" spans="1:11" x14ac:dyDescent="0.35">
      <c r="A650" t="s">
        <v>128</v>
      </c>
      <c r="B650">
        <v>21207</v>
      </c>
      <c r="C650">
        <v>-0.10764899999999999</v>
      </c>
      <c r="D650" s="5">
        <v>6.9445092999999996E-7</v>
      </c>
      <c r="E650">
        <v>3.7508949999999999E-2</v>
      </c>
      <c r="F650">
        <v>-4.7837999999999999E-2</v>
      </c>
      <c r="G650" t="s">
        <v>206</v>
      </c>
      <c r="I650">
        <f t="shared" si="37"/>
        <v>-0.10764969445092999</v>
      </c>
      <c r="J650">
        <f t="shared" si="38"/>
        <v>3.7508255549070002E-2</v>
      </c>
      <c r="K650">
        <f t="shared" si="39"/>
        <v>-4.7838694450929996E-2</v>
      </c>
    </row>
    <row r="651" spans="1:11" x14ac:dyDescent="0.35">
      <c r="A651" t="s">
        <v>129</v>
      </c>
      <c r="B651">
        <v>21207</v>
      </c>
      <c r="C651">
        <v>-2.9892999999999999E-2</v>
      </c>
      <c r="D651" s="5">
        <v>6.9445025000000003E-7</v>
      </c>
      <c r="E651">
        <v>3.5732113000000003E-2</v>
      </c>
      <c r="F651">
        <v>-3.4329999999999999E-3</v>
      </c>
      <c r="G651" t="s">
        <v>206</v>
      </c>
      <c r="I651">
        <f t="shared" si="37"/>
        <v>-2.9893694450249999E-2</v>
      </c>
      <c r="J651">
        <f t="shared" si="38"/>
        <v>3.5731418549750003E-2</v>
      </c>
      <c r="K651">
        <f t="shared" si="39"/>
        <v>-3.4336944502499998E-3</v>
      </c>
    </row>
    <row r="652" spans="1:11" x14ac:dyDescent="0.35">
      <c r="A652" t="s">
        <v>130</v>
      </c>
      <c r="B652">
        <v>21207</v>
      </c>
      <c r="C652">
        <v>-8.9141999999999999E-2</v>
      </c>
      <c r="D652" s="5">
        <v>9.7223597000000002E-7</v>
      </c>
      <c r="E652">
        <v>2.3912761000000001E-2</v>
      </c>
      <c r="F652">
        <v>-5.5112000000000001E-2</v>
      </c>
      <c r="G652" t="s">
        <v>206</v>
      </c>
      <c r="I652">
        <f t="shared" si="37"/>
        <v>-8.9142972235969994E-2</v>
      </c>
      <c r="J652">
        <f t="shared" si="38"/>
        <v>2.3911788764030002E-2</v>
      </c>
      <c r="K652">
        <f t="shared" si="39"/>
        <v>-5.5112972235970004E-2</v>
      </c>
    </row>
    <row r="653" spans="1:11" x14ac:dyDescent="0.35">
      <c r="A653" t="s">
        <v>131</v>
      </c>
      <c r="B653">
        <v>21207</v>
      </c>
      <c r="C653">
        <v>-6.4437999999999995E-2</v>
      </c>
      <c r="D653" s="5">
        <v>1.5278093000000001E-6</v>
      </c>
      <c r="E653">
        <v>2.6196547000000001E-2</v>
      </c>
      <c r="F653">
        <v>-3.7945E-2</v>
      </c>
      <c r="G653" t="s">
        <v>206</v>
      </c>
      <c r="I653">
        <f t="shared" si="37"/>
        <v>-6.4439527809299998E-2</v>
      </c>
      <c r="J653">
        <f t="shared" si="38"/>
        <v>2.6195019190700001E-2</v>
      </c>
      <c r="K653">
        <f t="shared" si="39"/>
        <v>-3.7946527809300003E-2</v>
      </c>
    </row>
    <row r="654" spans="1:11" x14ac:dyDescent="0.35">
      <c r="A654" t="s">
        <v>132</v>
      </c>
      <c r="B654">
        <v>21207</v>
      </c>
      <c r="C654">
        <v>-6.2093000000000002E-2</v>
      </c>
      <c r="D654" s="5">
        <v>4.1666865999999999E-7</v>
      </c>
      <c r="E654">
        <v>-2.9955011E-2</v>
      </c>
      <c r="F654">
        <v>3.4188999999999997E-2</v>
      </c>
      <c r="G654" t="s">
        <v>206</v>
      </c>
      <c r="I654">
        <f t="shared" si="37"/>
        <v>-6.2093416668660001E-2</v>
      </c>
      <c r="J654">
        <f t="shared" si="38"/>
        <v>-2.9955427668659999E-2</v>
      </c>
      <c r="K654">
        <f t="shared" si="39"/>
        <v>3.4188583331339999E-2</v>
      </c>
    </row>
    <row r="655" spans="1:11" x14ac:dyDescent="0.35">
      <c r="A655" t="s">
        <v>133</v>
      </c>
      <c r="B655">
        <v>21207</v>
      </c>
      <c r="C655">
        <v>7.6852000000000004E-2</v>
      </c>
      <c r="D655" s="5">
        <v>8.3334270999999995E-7</v>
      </c>
      <c r="E655">
        <v>4.6289820000000002E-2</v>
      </c>
      <c r="F655">
        <v>6.2702999999999995E-2</v>
      </c>
      <c r="G655" t="s">
        <v>206</v>
      </c>
      <c r="I655">
        <f t="shared" si="37"/>
        <v>7.6851166657289999E-2</v>
      </c>
      <c r="J655">
        <f t="shared" si="38"/>
        <v>4.6288986657290004E-2</v>
      </c>
      <c r="K655">
        <f t="shared" si="39"/>
        <v>6.270216665728999E-2</v>
      </c>
    </row>
    <row r="656" spans="1:11" x14ac:dyDescent="0.35">
      <c r="A656" t="s">
        <v>134</v>
      </c>
      <c r="B656">
        <v>21207</v>
      </c>
      <c r="C656">
        <v>1.4187E-2</v>
      </c>
      <c r="D656" s="5">
        <v>1.2500211E-6</v>
      </c>
      <c r="E656">
        <v>4.4357283000000004E-3</v>
      </c>
      <c r="F656">
        <v>-3.1420999999999998E-2</v>
      </c>
      <c r="G656" t="s">
        <v>206</v>
      </c>
      <c r="I656">
        <f t="shared" si="37"/>
        <v>1.41857499789E-2</v>
      </c>
      <c r="J656">
        <f t="shared" si="38"/>
        <v>4.4344782789000007E-3</v>
      </c>
      <c r="K656">
        <f t="shared" si="39"/>
        <v>-3.1422250021099996E-2</v>
      </c>
    </row>
    <row r="657" spans="1:11" x14ac:dyDescent="0.35">
      <c r="A657" t="s">
        <v>135</v>
      </c>
      <c r="B657">
        <v>21207</v>
      </c>
      <c r="C657">
        <v>5.9299999999999999E-2</v>
      </c>
      <c r="D657" s="5">
        <v>8.3334168999999996E-7</v>
      </c>
      <c r="E657">
        <v>1.4230842999999999E-3</v>
      </c>
      <c r="F657">
        <v>4.9350000000000002E-3</v>
      </c>
      <c r="G657" t="s">
        <v>206</v>
      </c>
      <c r="I657">
        <f t="shared" si="37"/>
        <v>5.9299166658309997E-2</v>
      </c>
      <c r="J657">
        <f t="shared" si="38"/>
        <v>1.4222509583099998E-3</v>
      </c>
      <c r="K657">
        <f t="shared" si="39"/>
        <v>4.9341666583100005E-3</v>
      </c>
    </row>
    <row r="658" spans="1:11" x14ac:dyDescent="0.35">
      <c r="A658" t="s">
        <v>136</v>
      </c>
      <c r="B658">
        <v>21207</v>
      </c>
      <c r="C658">
        <v>-7.8131000000000006E-2</v>
      </c>
      <c r="D658" s="5">
        <v>5.5555893000000002E-7</v>
      </c>
      <c r="E658">
        <v>2.0251281999999999E-2</v>
      </c>
      <c r="F658">
        <v>-3.0509999999999999E-2</v>
      </c>
      <c r="G658" t="s">
        <v>206</v>
      </c>
      <c r="I658">
        <f t="shared" si="37"/>
        <v>-7.8131555558930005E-2</v>
      </c>
      <c r="J658">
        <f t="shared" si="38"/>
        <v>2.025072644107E-2</v>
      </c>
      <c r="K658">
        <f t="shared" si="39"/>
        <v>-3.0510555558929998E-2</v>
      </c>
    </row>
    <row r="659" spans="1:11" x14ac:dyDescent="0.35">
      <c r="A659" t="s">
        <v>137</v>
      </c>
      <c r="B659">
        <v>21207</v>
      </c>
      <c r="C659">
        <v>0.112495</v>
      </c>
      <c r="D659" s="5">
        <v>1.1111276999999999E-6</v>
      </c>
      <c r="E659">
        <v>2.8027399000000001E-2</v>
      </c>
      <c r="F659">
        <v>6.3189999999999996E-2</v>
      </c>
      <c r="G659" t="s">
        <v>206</v>
      </c>
      <c r="I659">
        <f t="shared" si="37"/>
        <v>0.1124938888723</v>
      </c>
      <c r="J659">
        <f t="shared" si="38"/>
        <v>2.80262878723E-2</v>
      </c>
      <c r="K659">
        <f t="shared" si="39"/>
        <v>6.3188888872299995E-2</v>
      </c>
    </row>
    <row r="660" spans="1:11" x14ac:dyDescent="0.35">
      <c r="A660" t="s">
        <v>138</v>
      </c>
      <c r="B660">
        <v>21207</v>
      </c>
      <c r="C660">
        <v>-2.0833000000000001E-2</v>
      </c>
      <c r="D660" s="5">
        <v>4.1666874000000002E-7</v>
      </c>
      <c r="E660">
        <v>-2.0529615000000001E-2</v>
      </c>
      <c r="F660">
        <v>-3.6317000000000002E-2</v>
      </c>
      <c r="G660" t="s">
        <v>206</v>
      </c>
      <c r="I660">
        <f t="shared" si="37"/>
        <v>-2.0833416668740001E-2</v>
      </c>
      <c r="J660">
        <f t="shared" si="38"/>
        <v>-2.0530031668740002E-2</v>
      </c>
      <c r="K660">
        <f t="shared" si="39"/>
        <v>-3.6317416668739999E-2</v>
      </c>
    </row>
    <row r="661" spans="1:11" x14ac:dyDescent="0.35">
      <c r="A661" t="s">
        <v>139</v>
      </c>
      <c r="B661">
        <v>21207</v>
      </c>
      <c r="C661">
        <v>8.7514999999999996E-2</v>
      </c>
      <c r="D661" s="5">
        <v>2.0833394000000001E-7</v>
      </c>
      <c r="E661">
        <v>4.0290773000000002E-2</v>
      </c>
      <c r="F661">
        <v>3.8089999999999999E-3</v>
      </c>
      <c r="G661" t="s">
        <v>206</v>
      </c>
      <c r="I661">
        <f t="shared" si="37"/>
        <v>8.7514791666059993E-2</v>
      </c>
      <c r="J661">
        <f t="shared" si="38"/>
        <v>4.029056466606E-2</v>
      </c>
      <c r="K661">
        <f t="shared" si="39"/>
        <v>3.8087916660599999E-3</v>
      </c>
    </row>
    <row r="662" spans="1:11" x14ac:dyDescent="0.35">
      <c r="A662" t="s">
        <v>140</v>
      </c>
      <c r="B662">
        <v>21207</v>
      </c>
      <c r="C662">
        <v>-0.14821000000000001</v>
      </c>
      <c r="D662" s="5">
        <v>5.5555972000000002E-7</v>
      </c>
      <c r="E662">
        <v>-2.5125346999999999E-2</v>
      </c>
      <c r="F662">
        <v>-6.1762999999999998E-2</v>
      </c>
      <c r="G662" t="s">
        <v>206</v>
      </c>
      <c r="I662">
        <f t="shared" si="37"/>
        <v>-0.14821055555972001</v>
      </c>
      <c r="J662">
        <f t="shared" si="38"/>
        <v>-2.5125902559719998E-2</v>
      </c>
      <c r="K662">
        <f t="shared" si="39"/>
        <v>-6.1763555559719997E-2</v>
      </c>
    </row>
    <row r="663" spans="1:11" x14ac:dyDescent="0.35">
      <c r="A663" t="s">
        <v>141</v>
      </c>
      <c r="B663">
        <v>21207</v>
      </c>
      <c r="C663">
        <v>-0.186117</v>
      </c>
      <c r="D663" s="5">
        <v>4.1666865999999999E-7</v>
      </c>
      <c r="E663">
        <v>3.7308317000000001E-2</v>
      </c>
      <c r="F663">
        <v>-3.0547999999999999E-2</v>
      </c>
      <c r="G663" t="s">
        <v>206</v>
      </c>
      <c r="I663">
        <f t="shared" si="37"/>
        <v>-0.18611741666866</v>
      </c>
      <c r="J663">
        <f t="shared" si="38"/>
        <v>3.7307900331340002E-2</v>
      </c>
      <c r="K663">
        <f t="shared" si="39"/>
        <v>-3.0548416668659997E-2</v>
      </c>
    </row>
    <row r="664" spans="1:11" x14ac:dyDescent="0.35">
      <c r="A664" t="s">
        <v>142</v>
      </c>
      <c r="B664">
        <v>21207</v>
      </c>
      <c r="C664">
        <v>-1.9189999999999999E-2</v>
      </c>
      <c r="D664" s="5">
        <v>2.7777887000000002E-7</v>
      </c>
      <c r="E664">
        <v>2.0212193999999999E-2</v>
      </c>
      <c r="F664">
        <v>-4.8820000000000001E-3</v>
      </c>
      <c r="G664" t="s">
        <v>206</v>
      </c>
      <c r="I664">
        <f t="shared" si="37"/>
        <v>-1.9190277778869998E-2</v>
      </c>
      <c r="J664">
        <f t="shared" si="38"/>
        <v>2.021191622113E-2</v>
      </c>
      <c r="K664">
        <f t="shared" si="39"/>
        <v>-4.8822777788699997E-3</v>
      </c>
    </row>
    <row r="665" spans="1:11" x14ac:dyDescent="0.35">
      <c r="A665" t="s">
        <v>143</v>
      </c>
      <c r="B665">
        <v>21207</v>
      </c>
      <c r="C665">
        <v>2.8532999999999999E-2</v>
      </c>
      <c r="D665" s="5">
        <v>1.1111283999999999E-6</v>
      </c>
      <c r="E665">
        <v>-3.5814726999999998E-3</v>
      </c>
      <c r="F665">
        <v>1.3112E-2</v>
      </c>
      <c r="G665" t="s">
        <v>206</v>
      </c>
      <c r="I665">
        <f t="shared" si="37"/>
        <v>2.8531888871599999E-2</v>
      </c>
      <c r="J665">
        <f t="shared" si="38"/>
        <v>-3.5825838283999999E-3</v>
      </c>
      <c r="K665">
        <f t="shared" si="39"/>
        <v>1.31108888716E-2</v>
      </c>
    </row>
    <row r="666" spans="1:11" x14ac:dyDescent="0.35">
      <c r="A666" t="s">
        <v>144</v>
      </c>
      <c r="B666">
        <v>21207</v>
      </c>
      <c r="C666">
        <v>0.33068799999999998</v>
      </c>
      <c r="D666" s="5">
        <v>4.1666856999999999E-7</v>
      </c>
      <c r="E666">
        <v>-2.7105996E-2</v>
      </c>
      <c r="F666">
        <v>8.6899000000000004E-2</v>
      </c>
      <c r="G666" t="s">
        <v>206</v>
      </c>
      <c r="I666">
        <f t="shared" si="37"/>
        <v>0.33068758333143</v>
      </c>
      <c r="J666">
        <f t="shared" si="38"/>
        <v>-2.7106412668570001E-2</v>
      </c>
      <c r="K666">
        <f t="shared" si="39"/>
        <v>8.689858333143001E-2</v>
      </c>
    </row>
    <row r="667" spans="1:11" x14ac:dyDescent="0.35">
      <c r="A667" t="s">
        <v>145</v>
      </c>
      <c r="B667">
        <v>21207</v>
      </c>
      <c r="C667">
        <v>4.6919000000000002E-2</v>
      </c>
      <c r="D667" s="5">
        <v>4.1666901999999998E-7</v>
      </c>
      <c r="E667">
        <v>5.6000657000000002E-2</v>
      </c>
      <c r="F667">
        <v>-5.9052E-2</v>
      </c>
      <c r="G667" t="s">
        <v>206</v>
      </c>
      <c r="I667">
        <f t="shared" si="37"/>
        <v>4.691858333098E-2</v>
      </c>
      <c r="J667">
        <f t="shared" si="38"/>
        <v>5.600024033098E-2</v>
      </c>
      <c r="K667">
        <f t="shared" si="39"/>
        <v>-5.9052416669020003E-2</v>
      </c>
    </row>
    <row r="668" spans="1:11" x14ac:dyDescent="0.35">
      <c r="A668" t="s">
        <v>146</v>
      </c>
      <c r="B668">
        <v>21207</v>
      </c>
      <c r="C668">
        <v>-0.174516</v>
      </c>
      <c r="D668" s="5">
        <v>6.9445092999999996E-7</v>
      </c>
      <c r="E668">
        <v>-1.0326237E-2</v>
      </c>
      <c r="F668">
        <v>-2.1521999999999999E-2</v>
      </c>
      <c r="G668" t="s">
        <v>206</v>
      </c>
      <c r="I668">
        <f t="shared" si="37"/>
        <v>-0.17451669445093002</v>
      </c>
      <c r="J668">
        <f t="shared" si="38"/>
        <v>-1.0326931450930001E-2</v>
      </c>
      <c r="K668">
        <f t="shared" si="39"/>
        <v>-2.152269445093E-2</v>
      </c>
    </row>
    <row r="669" spans="1:11" x14ac:dyDescent="0.35">
      <c r="A669" t="s">
        <v>147</v>
      </c>
      <c r="B669">
        <v>21207</v>
      </c>
      <c r="C669">
        <v>0.22017500000000001</v>
      </c>
      <c r="D669" s="5">
        <v>6.9444996999999997E-7</v>
      </c>
      <c r="E669">
        <v>8.6387536000000001E-3</v>
      </c>
      <c r="F669">
        <v>-1.6720000000000001E-3</v>
      </c>
      <c r="G669" t="s">
        <v>206</v>
      </c>
      <c r="I669">
        <f t="shared" si="37"/>
        <v>0.22017430555003001</v>
      </c>
      <c r="J669">
        <f t="shared" si="38"/>
        <v>8.6380591500300006E-3</v>
      </c>
      <c r="K669">
        <f t="shared" si="39"/>
        <v>-1.67269444997E-3</v>
      </c>
    </row>
    <row r="670" spans="1:11" x14ac:dyDescent="0.35">
      <c r="A670" t="s">
        <v>148</v>
      </c>
      <c r="B670">
        <v>21207</v>
      </c>
      <c r="C670">
        <v>2.8313000000000001E-2</v>
      </c>
      <c r="D670" s="5">
        <v>-1.3888861999999999E-7</v>
      </c>
      <c r="E670">
        <v>1.0356373E-2</v>
      </c>
      <c r="F670">
        <v>5.5519999999999996E-3</v>
      </c>
      <c r="G670" t="s">
        <v>206</v>
      </c>
      <c r="I670">
        <f t="shared" si="37"/>
        <v>2.8313138888620002E-2</v>
      </c>
      <c r="J670">
        <f t="shared" si="38"/>
        <v>1.0356511888620001E-2</v>
      </c>
      <c r="K670">
        <f t="shared" si="39"/>
        <v>5.5521388886199995E-3</v>
      </c>
    </row>
    <row r="671" spans="1:11" x14ac:dyDescent="0.35">
      <c r="A671" t="s">
        <v>149</v>
      </c>
      <c r="B671">
        <v>21207</v>
      </c>
      <c r="C671">
        <v>-0.14152000000000001</v>
      </c>
      <c r="D671" s="5">
        <v>2.7777881000000001E-7</v>
      </c>
      <c r="E671">
        <v>-1.9239652999999999E-2</v>
      </c>
      <c r="F671">
        <v>-1.5162E-2</v>
      </c>
      <c r="G671" t="s">
        <v>206</v>
      </c>
      <c r="I671">
        <f t="shared" si="37"/>
        <v>-0.14152027777881002</v>
      </c>
      <c r="J671">
        <f t="shared" si="38"/>
        <v>-1.9239930778809998E-2</v>
      </c>
      <c r="K671">
        <f t="shared" si="39"/>
        <v>-1.5162277778810001E-2</v>
      </c>
    </row>
    <row r="672" spans="1:11" x14ac:dyDescent="0.35">
      <c r="A672" t="s">
        <v>150</v>
      </c>
      <c r="B672">
        <v>21207</v>
      </c>
      <c r="C672">
        <v>-0.26498300000000002</v>
      </c>
      <c r="D672" s="5">
        <v>1.3888911E-7</v>
      </c>
      <c r="E672">
        <v>1.2304676000000001E-2</v>
      </c>
      <c r="F672">
        <v>-6.6210000000000005E-2</v>
      </c>
      <c r="G672" t="s">
        <v>206</v>
      </c>
      <c r="I672">
        <f t="shared" si="37"/>
        <v>-0.26498313888911001</v>
      </c>
      <c r="J672">
        <f t="shared" si="38"/>
        <v>1.2304537110890001E-2</v>
      </c>
      <c r="K672">
        <f t="shared" si="39"/>
        <v>-6.621013888911001E-2</v>
      </c>
    </row>
    <row r="673" spans="1:11" x14ac:dyDescent="0.35">
      <c r="A673" t="s">
        <v>151</v>
      </c>
      <c r="B673">
        <v>21207</v>
      </c>
      <c r="C673">
        <v>-5.8240000000000002E-3</v>
      </c>
      <c r="D673" s="5">
        <v>8.3334270999999995E-7</v>
      </c>
      <c r="E673">
        <v>-6.0059883000000001E-2</v>
      </c>
      <c r="F673">
        <v>3.7072000000000001E-2</v>
      </c>
      <c r="G673" t="s">
        <v>206</v>
      </c>
      <c r="I673">
        <f t="shared" si="37"/>
        <v>-5.8248333427099999E-3</v>
      </c>
      <c r="J673">
        <f t="shared" si="38"/>
        <v>-6.0060716342709999E-2</v>
      </c>
      <c r="K673">
        <f t="shared" si="39"/>
        <v>3.7071166657290003E-2</v>
      </c>
    </row>
    <row r="674" spans="1:11" x14ac:dyDescent="0.35">
      <c r="A674" t="s">
        <v>152</v>
      </c>
      <c r="B674">
        <v>21207</v>
      </c>
      <c r="C674">
        <v>-5.7118000000000002E-2</v>
      </c>
      <c r="D674" s="5">
        <v>2.7777869999999999E-7</v>
      </c>
      <c r="E674">
        <v>-3.3820637000000001E-2</v>
      </c>
      <c r="F674">
        <v>-1.8010999999999999E-2</v>
      </c>
      <c r="G674" t="s">
        <v>206</v>
      </c>
      <c r="I674">
        <f t="shared" si="37"/>
        <v>-5.7118277778700002E-2</v>
      </c>
      <c r="J674">
        <f t="shared" si="38"/>
        <v>-3.3820914778700001E-2</v>
      </c>
      <c r="K674">
        <f t="shared" si="39"/>
        <v>-1.8011277778699999E-2</v>
      </c>
    </row>
    <row r="675" spans="1:11" x14ac:dyDescent="0.35">
      <c r="A675" t="s">
        <v>153</v>
      </c>
      <c r="B675">
        <v>21207</v>
      </c>
      <c r="C675">
        <v>0.210952</v>
      </c>
      <c r="D675" s="5">
        <v>-2.7777693000000002E-7</v>
      </c>
      <c r="E675">
        <v>7.4186891000000005E-2</v>
      </c>
      <c r="F675">
        <v>2.2834E-2</v>
      </c>
      <c r="G675" t="s">
        <v>206</v>
      </c>
      <c r="I675">
        <f t="shared" si="37"/>
        <v>0.21095227777693001</v>
      </c>
      <c r="J675">
        <f t="shared" si="38"/>
        <v>7.4187168776930004E-2</v>
      </c>
      <c r="K675">
        <f t="shared" si="39"/>
        <v>2.283427777693E-2</v>
      </c>
    </row>
    <row r="676" spans="1:11" x14ac:dyDescent="0.35">
      <c r="A676" t="s">
        <v>154</v>
      </c>
      <c r="B676">
        <v>21207</v>
      </c>
      <c r="C676">
        <v>-5.3956999999999998E-2</v>
      </c>
      <c r="D676" s="5">
        <v>2.7777887000000002E-7</v>
      </c>
      <c r="E676">
        <v>6.7570386000000001E-3</v>
      </c>
      <c r="F676">
        <v>-6.7520999999999998E-2</v>
      </c>
      <c r="G676" t="s">
        <v>206</v>
      </c>
      <c r="I676">
        <f t="shared" si="37"/>
        <v>-5.3957277778870001E-2</v>
      </c>
      <c r="J676">
        <f t="shared" si="38"/>
        <v>6.7567608211300005E-3</v>
      </c>
      <c r="K676">
        <f t="shared" si="39"/>
        <v>-6.7521277778870001E-2</v>
      </c>
    </row>
    <row r="677" spans="1:11" x14ac:dyDescent="0.35">
      <c r="A677" t="s">
        <v>155</v>
      </c>
      <c r="B677">
        <v>21207</v>
      </c>
      <c r="C677">
        <v>-2.1455999999999999E-2</v>
      </c>
      <c r="D677" s="5">
        <v>2.7778703E-6</v>
      </c>
      <c r="E677">
        <v>-2.2346674E-2</v>
      </c>
      <c r="F677">
        <v>-4.5129999999999997E-3</v>
      </c>
      <c r="G677" t="s">
        <v>206</v>
      </c>
      <c r="I677">
        <f t="shared" si="37"/>
        <v>-2.1458777870300001E-2</v>
      </c>
      <c r="J677">
        <f t="shared" si="38"/>
        <v>-2.2349451870300002E-2</v>
      </c>
      <c r="K677">
        <f t="shared" si="39"/>
        <v>-4.5157778702999999E-3</v>
      </c>
    </row>
    <row r="678" spans="1:11" x14ac:dyDescent="0.35">
      <c r="A678" t="s">
        <v>156</v>
      </c>
      <c r="B678">
        <v>21207</v>
      </c>
      <c r="C678">
        <v>0.10950500000000001</v>
      </c>
      <c r="D678" s="5">
        <v>3.8891008000000001E-6</v>
      </c>
      <c r="E678">
        <v>-5.6998282999999997E-2</v>
      </c>
      <c r="F678">
        <v>5.4101999999999997E-2</v>
      </c>
      <c r="G678" t="s">
        <v>206</v>
      </c>
      <c r="I678">
        <f t="shared" si="37"/>
        <v>0.1095011108992</v>
      </c>
      <c r="J678">
        <f t="shared" si="38"/>
        <v>-5.7002172100799997E-2</v>
      </c>
      <c r="K678">
        <f t="shared" si="39"/>
        <v>5.4098110899199997E-2</v>
      </c>
    </row>
    <row r="679" spans="1:11" x14ac:dyDescent="0.35">
      <c r="A679" t="s">
        <v>157</v>
      </c>
      <c r="B679">
        <v>21207</v>
      </c>
      <c r="C679">
        <v>0.29408800000000002</v>
      </c>
      <c r="D679" s="5">
        <v>6.2505273000000001E-6</v>
      </c>
      <c r="E679">
        <v>6.8726775000000002E-4</v>
      </c>
      <c r="F679">
        <v>0.10931200000000001</v>
      </c>
      <c r="G679" t="s">
        <v>206</v>
      </c>
      <c r="I679">
        <f t="shared" si="37"/>
        <v>0.29408174947269999</v>
      </c>
      <c r="J679">
        <f t="shared" si="38"/>
        <v>6.8101722270000006E-4</v>
      </c>
      <c r="K679">
        <f t="shared" si="39"/>
        <v>0.10930574947270001</v>
      </c>
    </row>
    <row r="680" spans="1:11" x14ac:dyDescent="0.35">
      <c r="A680" t="s">
        <v>158</v>
      </c>
      <c r="B680">
        <v>21207</v>
      </c>
      <c r="C680">
        <v>3.0003999999999999E-2</v>
      </c>
      <c r="D680" s="5">
        <v>6.2504687000000001E-6</v>
      </c>
      <c r="E680">
        <v>7.0505328000000006E-2</v>
      </c>
      <c r="F680">
        <v>-8.4290000000000007E-3</v>
      </c>
      <c r="G680" t="s">
        <v>206</v>
      </c>
      <c r="I680">
        <f t="shared" si="37"/>
        <v>2.9997749531299998E-2</v>
      </c>
      <c r="J680">
        <f t="shared" si="38"/>
        <v>7.0499077531300011E-2</v>
      </c>
      <c r="K680">
        <f t="shared" si="39"/>
        <v>-8.4352504687000007E-3</v>
      </c>
    </row>
    <row r="681" spans="1:11" x14ac:dyDescent="0.35">
      <c r="A681" t="s">
        <v>159</v>
      </c>
      <c r="B681">
        <v>21207</v>
      </c>
      <c r="C681">
        <v>0.31565100000000001</v>
      </c>
      <c r="D681" s="5">
        <v>4.7225344000000004E-6</v>
      </c>
      <c r="E681">
        <v>1.1831184E-2</v>
      </c>
      <c r="F681">
        <v>5.1088000000000001E-2</v>
      </c>
      <c r="G681" t="s">
        <v>206</v>
      </c>
      <c r="I681">
        <f t="shared" si="37"/>
        <v>0.31564627746560003</v>
      </c>
      <c r="J681">
        <f t="shared" si="38"/>
        <v>1.1826461465599999E-2</v>
      </c>
      <c r="K681">
        <f t="shared" si="39"/>
        <v>5.1083277465599999E-2</v>
      </c>
    </row>
    <row r="682" spans="1:11" x14ac:dyDescent="0.35">
      <c r="A682" t="s">
        <v>160</v>
      </c>
      <c r="B682">
        <v>21207</v>
      </c>
      <c r="C682">
        <v>-7.3205999999999993E-2</v>
      </c>
      <c r="D682" s="5">
        <v>4.3058058000000002E-6</v>
      </c>
      <c r="E682">
        <v>1.4391575E-2</v>
      </c>
      <c r="F682">
        <v>-6.1383E-2</v>
      </c>
      <c r="G682" t="s">
        <v>206</v>
      </c>
      <c r="I682">
        <f t="shared" si="37"/>
        <v>-7.3210305805799999E-2</v>
      </c>
      <c r="J682">
        <f t="shared" si="38"/>
        <v>1.4387269194200001E-2</v>
      </c>
      <c r="K682">
        <f t="shared" si="39"/>
        <v>-6.1387305805799999E-2</v>
      </c>
    </row>
    <row r="683" spans="1:11" x14ac:dyDescent="0.35">
      <c r="A683" t="s">
        <v>161</v>
      </c>
      <c r="B683">
        <v>21207</v>
      </c>
      <c r="C683">
        <v>0.20780599999999999</v>
      </c>
      <c r="D683" s="5">
        <v>5.0002877000000001E-6</v>
      </c>
      <c r="E683">
        <v>3.1732204000000002E-3</v>
      </c>
      <c r="F683">
        <v>8.9694999999999997E-2</v>
      </c>
      <c r="G683" t="s">
        <v>206</v>
      </c>
      <c r="I683">
        <f t="shared" si="37"/>
        <v>0.20780099971229998</v>
      </c>
      <c r="J683">
        <f t="shared" si="38"/>
        <v>3.1682201123000003E-3</v>
      </c>
      <c r="K683">
        <f t="shared" si="39"/>
        <v>8.9689999712300003E-2</v>
      </c>
    </row>
    <row r="684" spans="1:11" x14ac:dyDescent="0.35">
      <c r="A684" t="s">
        <v>162</v>
      </c>
      <c r="B684">
        <v>21207</v>
      </c>
      <c r="C684">
        <v>0.12474399999999999</v>
      </c>
      <c r="D684" s="5">
        <v>5.1392584999999999E-6</v>
      </c>
      <c r="E684">
        <v>3.8786817000000001E-2</v>
      </c>
      <c r="F684">
        <v>1.9847E-2</v>
      </c>
      <c r="G684" t="s">
        <v>206</v>
      </c>
      <c r="I684">
        <f t="shared" si="37"/>
        <v>0.12473886074149999</v>
      </c>
      <c r="J684">
        <f t="shared" si="38"/>
        <v>3.8781677741500001E-2</v>
      </c>
      <c r="K684">
        <f t="shared" si="39"/>
        <v>1.98418607415E-2</v>
      </c>
    </row>
    <row r="685" spans="1:11" x14ac:dyDescent="0.35">
      <c r="A685" t="s">
        <v>163</v>
      </c>
      <c r="B685">
        <v>21207</v>
      </c>
      <c r="C685">
        <v>-0.130909</v>
      </c>
      <c r="D685" s="5">
        <v>5.0003378000000001E-6</v>
      </c>
      <c r="E685">
        <v>2.7987469999999999E-3</v>
      </c>
      <c r="F685">
        <v>-3.2563000000000002E-2</v>
      </c>
      <c r="G685" t="s">
        <v>206</v>
      </c>
      <c r="I685">
        <f t="shared" si="37"/>
        <v>-0.13091400033779999</v>
      </c>
      <c r="J685">
        <f t="shared" si="38"/>
        <v>2.7937466621999999E-3</v>
      </c>
      <c r="K685">
        <f t="shared" si="39"/>
        <v>-3.2568000337800003E-2</v>
      </c>
    </row>
    <row r="686" spans="1:11" x14ac:dyDescent="0.35">
      <c r="A686" t="s">
        <v>164</v>
      </c>
      <c r="B686">
        <v>21207</v>
      </c>
      <c r="C686">
        <v>2.8112000000000002E-2</v>
      </c>
      <c r="D686" s="5">
        <v>6.8060649000000001E-6</v>
      </c>
      <c r="E686">
        <v>3.0445021000000002E-3</v>
      </c>
      <c r="F686">
        <v>6.8919999999999997E-3</v>
      </c>
      <c r="G686" t="s">
        <v>206</v>
      </c>
      <c r="I686">
        <f t="shared" si="37"/>
        <v>2.8105193935100001E-2</v>
      </c>
      <c r="J686">
        <f t="shared" si="38"/>
        <v>3.0376960351E-3</v>
      </c>
      <c r="K686">
        <f t="shared" si="39"/>
        <v>6.8851939350999996E-3</v>
      </c>
    </row>
    <row r="687" spans="1:11" x14ac:dyDescent="0.35">
      <c r="A687" t="s">
        <v>165</v>
      </c>
      <c r="B687">
        <v>21207</v>
      </c>
      <c r="C687">
        <v>-5.7265999999999997E-2</v>
      </c>
      <c r="D687" s="5">
        <v>5.5559721999999998E-6</v>
      </c>
      <c r="E687">
        <v>-2.7060966999999998E-2</v>
      </c>
      <c r="F687">
        <v>-2.9448999999999999E-2</v>
      </c>
      <c r="G687" t="s">
        <v>206</v>
      </c>
      <c r="I687">
        <f t="shared" si="37"/>
        <v>-5.7271555972199996E-2</v>
      </c>
      <c r="J687">
        <f t="shared" si="38"/>
        <v>-2.7066522972199997E-2</v>
      </c>
      <c r="K687">
        <f t="shared" si="39"/>
        <v>-2.9454555972199998E-2</v>
      </c>
    </row>
    <row r="688" spans="1:11" x14ac:dyDescent="0.35">
      <c r="A688" t="s">
        <v>166</v>
      </c>
      <c r="B688">
        <v>21207</v>
      </c>
      <c r="C688">
        <v>-0.12418999999999999</v>
      </c>
      <c r="D688" s="5">
        <v>5.0003127000000001E-6</v>
      </c>
      <c r="E688">
        <v>4.0418684000000003E-2</v>
      </c>
      <c r="F688">
        <v>-8.3566000000000001E-2</v>
      </c>
      <c r="G688" t="s">
        <v>206</v>
      </c>
      <c r="I688">
        <f t="shared" si="37"/>
        <v>-0.12419500031269999</v>
      </c>
      <c r="J688">
        <f t="shared" si="38"/>
        <v>4.04136836873E-2</v>
      </c>
      <c r="K688">
        <f t="shared" si="39"/>
        <v>-8.3571000312699997E-2</v>
      </c>
    </row>
    <row r="689" spans="1:11" x14ac:dyDescent="0.35">
      <c r="A689" t="s">
        <v>167</v>
      </c>
      <c r="B689">
        <v>21207</v>
      </c>
      <c r="C689">
        <v>5.1788000000000001E-2</v>
      </c>
      <c r="D689" s="5">
        <v>6.9449747999999996E-6</v>
      </c>
      <c r="E689">
        <v>1.8747913000000001E-2</v>
      </c>
      <c r="F689">
        <v>-1.915E-2</v>
      </c>
      <c r="G689" t="s">
        <v>206</v>
      </c>
      <c r="I689">
        <f t="shared" si="37"/>
        <v>5.1781055025200001E-2</v>
      </c>
      <c r="J689">
        <f t="shared" si="38"/>
        <v>1.8740968025200002E-2</v>
      </c>
      <c r="K689">
        <f t="shared" si="39"/>
        <v>-1.91569449748E-2</v>
      </c>
    </row>
    <row r="690" spans="1:11" x14ac:dyDescent="0.35">
      <c r="A690" t="s">
        <v>168</v>
      </c>
      <c r="B690">
        <v>21207</v>
      </c>
      <c r="C690">
        <v>6.4865999999999993E-2</v>
      </c>
      <c r="D690" s="5">
        <v>1.2502110000000001E-5</v>
      </c>
      <c r="E690">
        <v>2.2173285000000001E-2</v>
      </c>
      <c r="F690">
        <v>5.4191999999999997E-2</v>
      </c>
      <c r="G690" t="s">
        <v>206</v>
      </c>
      <c r="I690">
        <f t="shared" si="37"/>
        <v>6.4853497889999986E-2</v>
      </c>
      <c r="J690">
        <f t="shared" si="38"/>
        <v>2.2160782890000001E-2</v>
      </c>
      <c r="K690">
        <f t="shared" si="39"/>
        <v>5.4179497889999997E-2</v>
      </c>
    </row>
    <row r="691" spans="1:11" x14ac:dyDescent="0.35">
      <c r="A691" t="s">
        <v>169</v>
      </c>
      <c r="B691">
        <v>21207</v>
      </c>
      <c r="C691">
        <v>-5.6229000000000001E-2</v>
      </c>
      <c r="D691" s="5">
        <v>1.3057516E-5</v>
      </c>
      <c r="E691">
        <v>3.2628167E-2</v>
      </c>
      <c r="F691">
        <v>3.1848000000000001E-2</v>
      </c>
      <c r="G691" t="s">
        <v>206</v>
      </c>
      <c r="I691">
        <f t="shared" si="37"/>
        <v>-5.6242057515999998E-2</v>
      </c>
      <c r="J691">
        <f t="shared" si="38"/>
        <v>3.2615109484000003E-2</v>
      </c>
      <c r="K691">
        <f t="shared" si="39"/>
        <v>3.1834942484000005E-2</v>
      </c>
    </row>
    <row r="692" spans="1:11" x14ac:dyDescent="0.35">
      <c r="A692" t="s">
        <v>170</v>
      </c>
      <c r="B692">
        <v>21207</v>
      </c>
      <c r="C692">
        <v>-3.5922999999999997E-2</v>
      </c>
      <c r="D692" s="5">
        <v>1.2223941E-5</v>
      </c>
      <c r="E692">
        <v>2.0500966000000002E-3</v>
      </c>
      <c r="F692">
        <v>-4.2770000000000004E-3</v>
      </c>
      <c r="G692" t="s">
        <v>206</v>
      </c>
      <c r="I692">
        <f t="shared" si="37"/>
        <v>-3.5935223940999995E-2</v>
      </c>
      <c r="J692">
        <f t="shared" si="38"/>
        <v>2.037872659E-3</v>
      </c>
      <c r="K692">
        <f t="shared" si="39"/>
        <v>-4.2892239410000001E-3</v>
      </c>
    </row>
    <row r="693" spans="1:11" x14ac:dyDescent="0.35">
      <c r="A693" t="s">
        <v>171</v>
      </c>
      <c r="B693">
        <v>21207</v>
      </c>
      <c r="C693">
        <v>2.5788999999999999E-2</v>
      </c>
      <c r="D693" s="5">
        <v>2.0088781000000001E-5</v>
      </c>
      <c r="E693">
        <v>9.6190701999999996E-3</v>
      </c>
      <c r="F693">
        <v>1.7267000000000001E-2</v>
      </c>
      <c r="G693" t="s">
        <v>206</v>
      </c>
      <c r="I693">
        <f t="shared" si="37"/>
        <v>2.5768911219000001E-2</v>
      </c>
      <c r="J693">
        <f t="shared" si="38"/>
        <v>9.5989814189999991E-3</v>
      </c>
      <c r="K693">
        <f t="shared" si="39"/>
        <v>1.7246911219000002E-2</v>
      </c>
    </row>
    <row r="694" spans="1:11" x14ac:dyDescent="0.35">
      <c r="A694" t="s">
        <v>172</v>
      </c>
      <c r="B694">
        <v>21207</v>
      </c>
      <c r="C694">
        <v>1.0056000000000001E-2</v>
      </c>
      <c r="D694" s="5">
        <v>1.8337871999999999E-5</v>
      </c>
      <c r="E694">
        <v>9.3579440999999996E-3</v>
      </c>
      <c r="F694">
        <v>-1.242E-3</v>
      </c>
      <c r="G694" t="s">
        <v>206</v>
      </c>
      <c r="I694">
        <f t="shared" si="37"/>
        <v>1.0037662128000001E-2</v>
      </c>
      <c r="J694">
        <f t="shared" si="38"/>
        <v>9.3396062279999994E-3</v>
      </c>
      <c r="K694">
        <f t="shared" si="39"/>
        <v>-1.260337872E-3</v>
      </c>
    </row>
    <row r="695" spans="1:11" x14ac:dyDescent="0.35">
      <c r="A695" t="s">
        <v>173</v>
      </c>
      <c r="B695">
        <v>21207</v>
      </c>
      <c r="C695">
        <v>-5.0072999999999999E-2</v>
      </c>
      <c r="D695" s="5">
        <v>2.0282302999999999E-5</v>
      </c>
      <c r="E695">
        <v>9.6782167000000006E-3</v>
      </c>
      <c r="F695">
        <v>-2.1555000000000001E-2</v>
      </c>
      <c r="G695" t="s">
        <v>206</v>
      </c>
      <c r="I695">
        <f t="shared" si="37"/>
        <v>-5.0093282302999996E-2</v>
      </c>
      <c r="J695">
        <f t="shared" si="38"/>
        <v>9.6579343970000005E-3</v>
      </c>
      <c r="K695">
        <f t="shared" si="39"/>
        <v>-2.1575282303000001E-2</v>
      </c>
    </row>
    <row r="696" spans="1:11" x14ac:dyDescent="0.35">
      <c r="A696" t="s">
        <v>174</v>
      </c>
      <c r="B696">
        <v>21207</v>
      </c>
      <c r="C696">
        <v>0.14757600000000001</v>
      </c>
      <c r="D696" s="5">
        <v>2.2784785000000001E-5</v>
      </c>
      <c r="E696">
        <v>1.7181420999999999E-2</v>
      </c>
      <c r="F696">
        <v>2.3132E-2</v>
      </c>
      <c r="G696" t="s">
        <v>206</v>
      </c>
      <c r="I696">
        <f t="shared" si="37"/>
        <v>0.14755321521500001</v>
      </c>
      <c r="J696">
        <f t="shared" si="38"/>
        <v>1.7158636214999998E-2</v>
      </c>
      <c r="K696">
        <f t="shared" si="39"/>
        <v>2.3109215214999999E-2</v>
      </c>
    </row>
    <row r="697" spans="1:11" x14ac:dyDescent="0.35">
      <c r="A697" t="s">
        <v>175</v>
      </c>
      <c r="B697">
        <v>21207</v>
      </c>
      <c r="C697">
        <v>3.1476999999999998E-2</v>
      </c>
      <c r="D697" s="5">
        <v>2.6814181E-5</v>
      </c>
      <c r="E697">
        <v>1.6129673E-3</v>
      </c>
      <c r="F697">
        <v>4.1987999999999998E-2</v>
      </c>
      <c r="G697" t="s">
        <v>206</v>
      </c>
      <c r="I697">
        <f t="shared" si="37"/>
        <v>3.1450185818999998E-2</v>
      </c>
      <c r="J697">
        <f t="shared" si="38"/>
        <v>1.586153119E-3</v>
      </c>
      <c r="K697">
        <f t="shared" si="39"/>
        <v>4.1961185818999998E-2</v>
      </c>
    </row>
    <row r="698" spans="1:11" x14ac:dyDescent="0.35">
      <c r="A698" t="s">
        <v>176</v>
      </c>
      <c r="B698">
        <v>21207</v>
      </c>
      <c r="C698">
        <v>-1.9692000000000001E-2</v>
      </c>
      <c r="D698" s="5">
        <v>2.4980956E-5</v>
      </c>
      <c r="E698">
        <v>2.3813292E-2</v>
      </c>
      <c r="F698">
        <v>-3.3699E-2</v>
      </c>
      <c r="G698" t="s">
        <v>206</v>
      </c>
      <c r="I698">
        <f t="shared" si="37"/>
        <v>-1.9716980956E-2</v>
      </c>
      <c r="J698">
        <f t="shared" si="38"/>
        <v>2.3788311044000001E-2</v>
      </c>
      <c r="K698">
        <f t="shared" si="39"/>
        <v>-3.3723980956000002E-2</v>
      </c>
    </row>
    <row r="699" spans="1:11" x14ac:dyDescent="0.35">
      <c r="A699" t="s">
        <v>177</v>
      </c>
      <c r="B699">
        <v>21207</v>
      </c>
      <c r="C699">
        <v>-3.5990000000000001E-2</v>
      </c>
      <c r="D699" s="5">
        <v>2.6120319999999999E-5</v>
      </c>
      <c r="E699">
        <v>2.134813E-2</v>
      </c>
      <c r="F699">
        <v>-7.4850000000000003E-3</v>
      </c>
      <c r="G699" t="s">
        <v>206</v>
      </c>
      <c r="I699">
        <f t="shared" ref="I699:I763" si="40">C699-D699</f>
        <v>-3.6016120320000004E-2</v>
      </c>
      <c r="J699">
        <f t="shared" ref="J699:J763" si="41">E699-D699</f>
        <v>2.132200968E-2</v>
      </c>
      <c r="K699">
        <f t="shared" ref="K699:K763" si="42">F699-D699</f>
        <v>-7.5111203200000001E-3</v>
      </c>
    </row>
    <row r="700" spans="1:11" x14ac:dyDescent="0.35">
      <c r="A700" t="s">
        <v>178</v>
      </c>
      <c r="B700">
        <v>21207</v>
      </c>
      <c r="C700">
        <v>2.2953999999999999E-2</v>
      </c>
      <c r="D700" s="5">
        <v>2.6814181E-5</v>
      </c>
      <c r="E700">
        <v>2.7409703000000001E-2</v>
      </c>
      <c r="F700">
        <v>3.5630000000000002E-3</v>
      </c>
      <c r="G700" t="s">
        <v>206</v>
      </c>
      <c r="I700">
        <f t="shared" si="40"/>
        <v>2.2927185818999999E-2</v>
      </c>
      <c r="J700">
        <f t="shared" si="41"/>
        <v>2.7382888819000001E-2</v>
      </c>
      <c r="K700">
        <f t="shared" si="42"/>
        <v>3.536185819E-3</v>
      </c>
    </row>
    <row r="701" spans="1:11" x14ac:dyDescent="0.35">
      <c r="A701" t="s">
        <v>179</v>
      </c>
      <c r="B701">
        <v>21207</v>
      </c>
      <c r="C701">
        <v>1.6355999999999999E-2</v>
      </c>
      <c r="D701" s="5">
        <v>3.0985658999999998E-5</v>
      </c>
      <c r="E701">
        <v>1.2286760000000001E-2</v>
      </c>
      <c r="F701">
        <v>2.1056999999999999E-2</v>
      </c>
      <c r="G701" t="s">
        <v>206</v>
      </c>
      <c r="I701">
        <f t="shared" si="40"/>
        <v>1.6325014340999998E-2</v>
      </c>
      <c r="J701">
        <f t="shared" si="41"/>
        <v>1.2255774341000001E-2</v>
      </c>
      <c r="K701">
        <f t="shared" si="42"/>
        <v>2.1026014340999998E-2</v>
      </c>
    </row>
    <row r="702" spans="1:11" x14ac:dyDescent="0.35">
      <c r="A702" t="s">
        <v>180</v>
      </c>
      <c r="B702">
        <v>21207</v>
      </c>
      <c r="C702">
        <v>7.9690999999999998E-2</v>
      </c>
      <c r="D702" s="5">
        <v>3.4738506999999999E-5</v>
      </c>
      <c r="E702">
        <v>5.0687826999999998E-2</v>
      </c>
      <c r="F702">
        <v>3.2349000000000003E-2</v>
      </c>
      <c r="G702" t="s">
        <v>206</v>
      </c>
      <c r="I702">
        <f t="shared" si="40"/>
        <v>7.9656261492999994E-2</v>
      </c>
      <c r="J702">
        <f t="shared" si="41"/>
        <v>5.0653088493000001E-2</v>
      </c>
      <c r="K702">
        <f t="shared" si="42"/>
        <v>3.2314261493000006E-2</v>
      </c>
    </row>
    <row r="703" spans="1:11" x14ac:dyDescent="0.35">
      <c r="A703" t="s">
        <v>181</v>
      </c>
      <c r="B703">
        <v>21207</v>
      </c>
      <c r="C703">
        <v>-5.7022999999999997E-2</v>
      </c>
      <c r="D703" s="5">
        <v>3.2789600999999998E-5</v>
      </c>
      <c r="E703">
        <v>-3.9435158999999997E-2</v>
      </c>
      <c r="F703">
        <v>-2.0760000000000001E-2</v>
      </c>
      <c r="G703" t="s">
        <v>206</v>
      </c>
      <c r="I703">
        <f t="shared" si="40"/>
        <v>-5.7055789600999995E-2</v>
      </c>
      <c r="J703">
        <f t="shared" si="41"/>
        <v>-3.9467948600999996E-2</v>
      </c>
      <c r="K703">
        <f t="shared" si="42"/>
        <v>-2.0792789601000002E-2</v>
      </c>
    </row>
    <row r="704" spans="1:11" x14ac:dyDescent="0.35">
      <c r="A704" t="s">
        <v>182</v>
      </c>
      <c r="B704">
        <v>21207</v>
      </c>
      <c r="C704">
        <v>2.6440000000000002E-2</v>
      </c>
      <c r="D704" s="5">
        <v>3.7376473999999999E-5</v>
      </c>
      <c r="E704">
        <v>-1.8494523999999998E-2</v>
      </c>
      <c r="F704">
        <v>6.3200000000000001E-3</v>
      </c>
      <c r="G704" t="s">
        <v>206</v>
      </c>
      <c r="I704">
        <f t="shared" si="40"/>
        <v>2.6402623526000001E-2</v>
      </c>
      <c r="J704">
        <f t="shared" si="41"/>
        <v>-1.8531900473999999E-2</v>
      </c>
      <c r="K704">
        <f t="shared" si="42"/>
        <v>6.2826235259999998E-3</v>
      </c>
    </row>
    <row r="705" spans="1:11" x14ac:dyDescent="0.35">
      <c r="A705" t="s">
        <v>183</v>
      </c>
      <c r="B705">
        <v>21207</v>
      </c>
      <c r="C705">
        <v>5.6309999999999997E-3</v>
      </c>
      <c r="D705" s="5">
        <v>4.4472123E-5</v>
      </c>
      <c r="E705">
        <v>4.8402747999999997E-3</v>
      </c>
      <c r="F705">
        <v>-9.5399999999999999E-3</v>
      </c>
      <c r="G705" t="s">
        <v>206</v>
      </c>
      <c r="I705">
        <f t="shared" si="40"/>
        <v>5.5865278769999995E-3</v>
      </c>
      <c r="J705">
        <f t="shared" si="41"/>
        <v>4.7958026769999995E-3</v>
      </c>
      <c r="K705">
        <f t="shared" si="42"/>
        <v>-9.5844721229999992E-3</v>
      </c>
    </row>
    <row r="706" spans="1:11" x14ac:dyDescent="0.35">
      <c r="A706" t="s">
        <v>184</v>
      </c>
      <c r="B706">
        <v>21207</v>
      </c>
      <c r="C706">
        <v>-9.1629999999999993E-3</v>
      </c>
      <c r="D706" s="5">
        <v>4.5024317000000002E-5</v>
      </c>
      <c r="E706">
        <v>2.6277516000000001E-2</v>
      </c>
      <c r="F706">
        <v>-1.1958999999999999E-2</v>
      </c>
      <c r="G706" t="s">
        <v>206</v>
      </c>
      <c r="I706">
        <f t="shared" si="40"/>
        <v>-9.2080243169999996E-3</v>
      </c>
      <c r="J706">
        <f t="shared" si="41"/>
        <v>2.6232491683E-2</v>
      </c>
      <c r="K706">
        <f t="shared" si="42"/>
        <v>-1.2004024316999999E-2</v>
      </c>
    </row>
    <row r="707" spans="1:11" x14ac:dyDescent="0.35">
      <c r="A707" t="s">
        <v>185</v>
      </c>
      <c r="B707">
        <v>21207</v>
      </c>
      <c r="C707">
        <v>-2.7741999999999999E-2</v>
      </c>
      <c r="D707" s="5">
        <v>4.7670687999999998E-5</v>
      </c>
      <c r="E707">
        <v>5.2912380000000002E-3</v>
      </c>
      <c r="F707">
        <v>-3.6149000000000001E-2</v>
      </c>
      <c r="G707" t="s">
        <v>206</v>
      </c>
      <c r="I707">
        <f t="shared" si="40"/>
        <v>-2.7789670688E-2</v>
      </c>
      <c r="J707">
        <f t="shared" si="41"/>
        <v>5.2435673119999998E-3</v>
      </c>
      <c r="K707">
        <f t="shared" si="42"/>
        <v>-3.6196670687999997E-2</v>
      </c>
    </row>
    <row r="708" spans="1:11" x14ac:dyDescent="0.35">
      <c r="A708" t="s">
        <v>186</v>
      </c>
      <c r="B708">
        <v>21207</v>
      </c>
      <c r="C708">
        <v>-2.7314000000000001E-2</v>
      </c>
      <c r="D708" s="5">
        <v>4.8086759999999999E-5</v>
      </c>
      <c r="E708">
        <v>3.1689063000000003E-2</v>
      </c>
      <c r="F708">
        <v>-2.2419000000000001E-2</v>
      </c>
      <c r="G708" t="s">
        <v>206</v>
      </c>
      <c r="I708">
        <f t="shared" si="40"/>
        <v>-2.7362086760000001E-2</v>
      </c>
      <c r="J708">
        <f t="shared" si="41"/>
        <v>3.164097624E-2</v>
      </c>
      <c r="K708">
        <f t="shared" si="42"/>
        <v>-2.2467086760000001E-2</v>
      </c>
    </row>
    <row r="709" spans="1:11" x14ac:dyDescent="0.35">
      <c r="A709" t="s">
        <v>187</v>
      </c>
      <c r="B709">
        <v>21207</v>
      </c>
      <c r="C709">
        <v>-0.15403500000000001</v>
      </c>
      <c r="D709" s="5">
        <v>5.1975497999999999E-5</v>
      </c>
      <c r="E709">
        <v>3.0351875E-2</v>
      </c>
      <c r="F709">
        <v>-2.1381000000000001E-2</v>
      </c>
      <c r="G709" t="s">
        <v>206</v>
      </c>
      <c r="I709">
        <f t="shared" si="40"/>
        <v>-0.15408697549800002</v>
      </c>
      <c r="J709">
        <f t="shared" si="41"/>
        <v>3.0299899501999999E-2</v>
      </c>
      <c r="K709">
        <f t="shared" si="42"/>
        <v>-2.1432975498000002E-2</v>
      </c>
    </row>
    <row r="710" spans="1:11" x14ac:dyDescent="0.35">
      <c r="A710" t="s">
        <v>188</v>
      </c>
      <c r="B710">
        <v>21207</v>
      </c>
      <c r="C710">
        <v>-2.2237E-2</v>
      </c>
      <c r="D710" s="5">
        <v>5.2954507000000002E-5</v>
      </c>
      <c r="E710">
        <v>4.7995379999999998E-4</v>
      </c>
      <c r="F710">
        <v>-6.607E-3</v>
      </c>
      <c r="G710" t="s">
        <v>206</v>
      </c>
      <c r="I710">
        <f t="shared" si="40"/>
        <v>-2.2289954506999998E-2</v>
      </c>
      <c r="J710">
        <f t="shared" si="41"/>
        <v>4.2699929299999998E-4</v>
      </c>
      <c r="K710">
        <f t="shared" si="42"/>
        <v>-6.6599545070000002E-3</v>
      </c>
    </row>
    <row r="711" spans="1:11" x14ac:dyDescent="0.35">
      <c r="A711" t="s">
        <v>189</v>
      </c>
      <c r="B711">
        <v>21207</v>
      </c>
      <c r="C711">
        <v>2.3841000000000001E-2</v>
      </c>
      <c r="D711" s="5">
        <v>5.7961999000000002E-5</v>
      </c>
      <c r="E711">
        <v>-7.2749645000000002E-2</v>
      </c>
      <c r="F711">
        <v>2.1194999999999999E-2</v>
      </c>
      <c r="G711" t="s">
        <v>206</v>
      </c>
      <c r="I711">
        <f t="shared" si="40"/>
        <v>2.3783038001000002E-2</v>
      </c>
      <c r="J711">
        <f t="shared" si="41"/>
        <v>-7.2807606999000005E-2</v>
      </c>
      <c r="K711">
        <f t="shared" si="42"/>
        <v>2.1137038000999999E-2</v>
      </c>
    </row>
    <row r="712" spans="1:11" x14ac:dyDescent="0.35">
      <c r="A712" t="s">
        <v>190</v>
      </c>
      <c r="B712">
        <v>21207</v>
      </c>
      <c r="C712">
        <v>4.5925000000000001E-2</v>
      </c>
      <c r="D712" s="5">
        <v>5.9763279E-5</v>
      </c>
      <c r="E712">
        <v>4.4112142E-2</v>
      </c>
      <c r="F712">
        <v>3.3869999999999998E-3</v>
      </c>
      <c r="G712" t="s">
        <v>206</v>
      </c>
      <c r="I712">
        <f t="shared" si="40"/>
        <v>4.5865236720999999E-2</v>
      </c>
      <c r="J712">
        <f t="shared" si="41"/>
        <v>4.4052378720999999E-2</v>
      </c>
      <c r="K712">
        <f t="shared" si="42"/>
        <v>3.3272367209999996E-3</v>
      </c>
    </row>
    <row r="713" spans="1:11" x14ac:dyDescent="0.35">
      <c r="A713" t="s">
        <v>191</v>
      </c>
      <c r="B713">
        <v>21207</v>
      </c>
      <c r="C713">
        <v>7.5758000000000006E-2</v>
      </c>
      <c r="D713" s="5">
        <v>6.1300699999999994E-5</v>
      </c>
      <c r="E713">
        <v>-7.4872575999999996E-2</v>
      </c>
      <c r="F713">
        <v>4.9419999999999999E-2</v>
      </c>
      <c r="G713" t="s">
        <v>206</v>
      </c>
      <c r="I713">
        <f t="shared" si="40"/>
        <v>7.5696699300000003E-2</v>
      </c>
      <c r="J713">
        <f t="shared" si="41"/>
        <v>-7.4933876699999999E-2</v>
      </c>
      <c r="K713">
        <f t="shared" si="42"/>
        <v>4.9358699299999996E-2</v>
      </c>
    </row>
    <row r="714" spans="1:11" x14ac:dyDescent="0.35">
      <c r="A714" t="s">
        <v>192</v>
      </c>
      <c r="B714">
        <v>21207</v>
      </c>
      <c r="C714">
        <v>-1.5584000000000001E-2</v>
      </c>
      <c r="D714" s="5">
        <v>6.2691921000000006E-5</v>
      </c>
      <c r="E714">
        <v>8.8008939999999994E-2</v>
      </c>
      <c r="F714">
        <v>2.8865999999999999E-2</v>
      </c>
      <c r="G714" t="s">
        <v>206</v>
      </c>
      <c r="I714">
        <f t="shared" si="40"/>
        <v>-1.5646691920999999E-2</v>
      </c>
      <c r="J714">
        <f t="shared" si="41"/>
        <v>8.7946248078999992E-2</v>
      </c>
      <c r="K714">
        <f t="shared" si="42"/>
        <v>2.8803308079000001E-2</v>
      </c>
    </row>
    <row r="715" spans="1:11" x14ac:dyDescent="0.35">
      <c r="A715" t="s">
        <v>193</v>
      </c>
      <c r="B715">
        <v>21207</v>
      </c>
      <c r="C715">
        <v>2.9300000000000002E-4</v>
      </c>
      <c r="D715" s="5">
        <v>6.5894084000000006E-5</v>
      </c>
      <c r="E715">
        <v>3.2714512000000001E-2</v>
      </c>
      <c r="F715">
        <v>-6.0920000000000002E-3</v>
      </c>
      <c r="G715" t="s">
        <v>206</v>
      </c>
      <c r="I715">
        <f t="shared" si="40"/>
        <v>2.2710591600000001E-4</v>
      </c>
      <c r="J715">
        <f t="shared" si="41"/>
        <v>3.2648617916000003E-2</v>
      </c>
      <c r="K715">
        <f t="shared" si="42"/>
        <v>-6.1578940840000002E-3</v>
      </c>
    </row>
    <row r="716" spans="1:11" x14ac:dyDescent="0.35">
      <c r="A716" t="s">
        <v>194</v>
      </c>
      <c r="B716">
        <v>21207</v>
      </c>
      <c r="C716">
        <v>5.2462000000000002E-2</v>
      </c>
      <c r="D716" s="5">
        <v>6.4920080999999997E-5</v>
      </c>
      <c r="E716">
        <v>1.3366196E-2</v>
      </c>
      <c r="F716">
        <v>-1.5969000000000001E-2</v>
      </c>
      <c r="G716" t="s">
        <v>206</v>
      </c>
      <c r="I716">
        <f t="shared" si="40"/>
        <v>5.2397079919E-2</v>
      </c>
      <c r="J716">
        <f t="shared" si="41"/>
        <v>1.3301275919000001E-2</v>
      </c>
      <c r="K716">
        <f t="shared" si="42"/>
        <v>-1.6033920081000002E-2</v>
      </c>
    </row>
    <row r="717" spans="1:11" x14ac:dyDescent="0.35">
      <c r="A717" t="s">
        <v>195</v>
      </c>
      <c r="B717">
        <v>21207</v>
      </c>
      <c r="C717">
        <v>-0.107073</v>
      </c>
      <c r="D717" s="5">
        <v>6.4361448000000001E-5</v>
      </c>
      <c r="E717">
        <v>3.7867329999999998E-2</v>
      </c>
      <c r="F717">
        <v>-6.6389999999999999E-3</v>
      </c>
      <c r="G717" t="s">
        <v>207</v>
      </c>
      <c r="I717">
        <f t="shared" si="40"/>
        <v>-0.107137361448</v>
      </c>
      <c r="J717">
        <f t="shared" si="41"/>
        <v>3.7802968552000001E-2</v>
      </c>
      <c r="K717">
        <f t="shared" si="42"/>
        <v>-6.7033614479999996E-3</v>
      </c>
    </row>
    <row r="718" spans="1:11" x14ac:dyDescent="0.35">
      <c r="A718" t="s">
        <v>196</v>
      </c>
      <c r="B718">
        <v>21207</v>
      </c>
      <c r="C718">
        <v>6.5356999999999998E-2</v>
      </c>
      <c r="D718" s="5">
        <v>6.5744126999999993E-5</v>
      </c>
      <c r="E718">
        <v>-6.1593663E-2</v>
      </c>
      <c r="F718">
        <v>1.7573999999999999E-2</v>
      </c>
      <c r="G718" t="s">
        <v>207</v>
      </c>
      <c r="I718">
        <f t="shared" si="40"/>
        <v>6.5291255872999998E-2</v>
      </c>
      <c r="J718">
        <f t="shared" si="41"/>
        <v>-6.1659407127E-2</v>
      </c>
      <c r="K718">
        <f t="shared" si="42"/>
        <v>1.7508255872999999E-2</v>
      </c>
    </row>
    <row r="719" spans="1:11" x14ac:dyDescent="0.35">
      <c r="A719" t="s">
        <v>197</v>
      </c>
      <c r="B719">
        <v>21207</v>
      </c>
      <c r="C719">
        <v>0.16681799999999999</v>
      </c>
      <c r="D719" s="5">
        <v>6.2413674000000004E-5</v>
      </c>
      <c r="E719">
        <v>6.7385903999999996E-2</v>
      </c>
      <c r="F719">
        <v>8.0029000000000003E-2</v>
      </c>
      <c r="G719" t="s">
        <v>207</v>
      </c>
      <c r="I719">
        <f t="shared" si="40"/>
        <v>0.16675558632599999</v>
      </c>
      <c r="J719">
        <f t="shared" si="41"/>
        <v>6.7323490325999991E-2</v>
      </c>
      <c r="K719">
        <f t="shared" si="42"/>
        <v>7.9966586325999997E-2</v>
      </c>
    </row>
    <row r="720" spans="1:11" x14ac:dyDescent="0.35">
      <c r="A720" t="s">
        <v>198</v>
      </c>
      <c r="B720">
        <v>21207</v>
      </c>
      <c r="C720">
        <v>-5.0688999999999998E-2</v>
      </c>
      <c r="D720" s="5">
        <v>5.4067222999999999E-5</v>
      </c>
      <c r="E720">
        <v>1.3151872E-2</v>
      </c>
      <c r="F720">
        <v>7.4999999999999993E-5</v>
      </c>
      <c r="G720" t="s">
        <v>207</v>
      </c>
      <c r="I720">
        <f t="shared" si="40"/>
        <v>-5.0743067222999996E-2</v>
      </c>
      <c r="J720">
        <f t="shared" si="41"/>
        <v>1.3097804777E-2</v>
      </c>
      <c r="K720">
        <f t="shared" si="42"/>
        <v>2.0932776999999994E-5</v>
      </c>
    </row>
    <row r="721" spans="1:11" x14ac:dyDescent="0.35">
      <c r="A721" t="s">
        <v>199</v>
      </c>
      <c r="B721">
        <v>21207</v>
      </c>
      <c r="C721">
        <v>9.2277999999999999E-2</v>
      </c>
      <c r="D721" s="5">
        <v>5.5450476999999997E-5</v>
      </c>
      <c r="E721">
        <v>-2.0256182000000001E-2</v>
      </c>
      <c r="F721">
        <v>7.9122999999999999E-2</v>
      </c>
      <c r="G721" t="s">
        <v>207</v>
      </c>
      <c r="I721">
        <f t="shared" si="40"/>
        <v>9.2222549523000005E-2</v>
      </c>
      <c r="J721">
        <f t="shared" si="41"/>
        <v>-2.0311632477000002E-2</v>
      </c>
      <c r="K721">
        <f t="shared" si="42"/>
        <v>7.9067549523000005E-2</v>
      </c>
    </row>
    <row r="722" spans="1:11" x14ac:dyDescent="0.35">
      <c r="A722" t="s">
        <v>200</v>
      </c>
      <c r="B722">
        <v>21207</v>
      </c>
      <c r="C722">
        <v>-4.5876E-2</v>
      </c>
      <c r="D722" s="5">
        <v>5.3928131999999997E-5</v>
      </c>
      <c r="E722">
        <v>1.5959764000000001E-2</v>
      </c>
      <c r="F722">
        <v>-3.3947999999999999E-2</v>
      </c>
      <c r="G722" t="s">
        <v>207</v>
      </c>
      <c r="I722">
        <f t="shared" si="40"/>
        <v>-4.5929928132000003E-2</v>
      </c>
      <c r="J722">
        <f t="shared" si="41"/>
        <v>1.5905835868000002E-2</v>
      </c>
      <c r="K722">
        <f t="shared" si="42"/>
        <v>-3.4001928132000002E-2</v>
      </c>
    </row>
    <row r="723" spans="1:11" x14ac:dyDescent="0.35">
      <c r="A723" t="s">
        <v>201</v>
      </c>
      <c r="B723">
        <v>21207</v>
      </c>
      <c r="C723">
        <v>4.7731999999999997E-2</v>
      </c>
      <c r="D723" s="5">
        <v>4.7833000000000001E-5</v>
      </c>
      <c r="E723">
        <v>2.0895692E-2</v>
      </c>
      <c r="F723">
        <v>2.5635000000000002E-2</v>
      </c>
      <c r="G723" t="s">
        <v>207</v>
      </c>
      <c r="I723">
        <f t="shared" si="40"/>
        <v>4.7684167E-2</v>
      </c>
      <c r="J723">
        <f t="shared" si="41"/>
        <v>2.0847859E-2</v>
      </c>
      <c r="K723">
        <f t="shared" si="42"/>
        <v>2.5587167000000001E-2</v>
      </c>
    </row>
    <row r="724" spans="1:11" x14ac:dyDescent="0.35">
      <c r="A724" t="s">
        <v>202</v>
      </c>
      <c r="B724">
        <v>21207</v>
      </c>
      <c r="C724">
        <v>-3.3475999999999999E-2</v>
      </c>
      <c r="D724" s="5">
        <v>4.0996583E-5</v>
      </c>
      <c r="E724">
        <v>3.6646235999999999E-2</v>
      </c>
      <c r="F724">
        <v>-3.2086000000000003E-2</v>
      </c>
      <c r="G724" t="s">
        <v>207</v>
      </c>
      <c r="I724">
        <f t="shared" si="40"/>
        <v>-3.3516996582999996E-2</v>
      </c>
      <c r="J724">
        <f t="shared" si="41"/>
        <v>3.6605239417000002E-2</v>
      </c>
      <c r="K724">
        <f t="shared" si="42"/>
        <v>-3.2126996583E-2</v>
      </c>
    </row>
    <row r="725" spans="1:11" x14ac:dyDescent="0.35">
      <c r="A725" t="s">
        <v>203</v>
      </c>
      <c r="B725">
        <v>21207</v>
      </c>
      <c r="C725">
        <v>0.135156</v>
      </c>
      <c r="D725" s="5">
        <v>4.2802500999999998E-5</v>
      </c>
      <c r="E725">
        <v>2.8492387000000001E-2</v>
      </c>
      <c r="F725">
        <v>3.6559000000000001E-2</v>
      </c>
      <c r="G725" t="s">
        <v>207</v>
      </c>
      <c r="I725">
        <f t="shared" si="40"/>
        <v>0.135113197499</v>
      </c>
      <c r="J725">
        <f t="shared" si="41"/>
        <v>2.8449584499000001E-2</v>
      </c>
      <c r="K725">
        <f t="shared" si="42"/>
        <v>3.6516197499000001E-2</v>
      </c>
    </row>
    <row r="727" spans="1:11" x14ac:dyDescent="0.35">
      <c r="A727" t="s">
        <v>23</v>
      </c>
      <c r="B727">
        <v>14593</v>
      </c>
      <c r="C727">
        <v>0.19409899999999999</v>
      </c>
      <c r="D727" s="5">
        <v>4.7948841000000003E-5</v>
      </c>
      <c r="E727">
        <v>-2.6517817999999999E-2</v>
      </c>
      <c r="F727">
        <v>-3.6073000000000001E-2</v>
      </c>
      <c r="G727" t="s">
        <v>208</v>
      </c>
      <c r="I727">
        <f t="shared" si="40"/>
        <v>0.19405105115899998</v>
      </c>
      <c r="J727">
        <f t="shared" si="41"/>
        <v>-2.6565766841E-2</v>
      </c>
      <c r="K727">
        <f t="shared" si="42"/>
        <v>-3.6120948840999999E-2</v>
      </c>
    </row>
    <row r="728" spans="1:11" x14ac:dyDescent="0.35">
      <c r="A728" t="s">
        <v>25</v>
      </c>
      <c r="B728">
        <v>14593</v>
      </c>
      <c r="C728">
        <v>0.16671</v>
      </c>
      <c r="D728" s="5">
        <v>5.5244941999999998E-5</v>
      </c>
      <c r="E728">
        <v>2.2697801E-2</v>
      </c>
      <c r="F728">
        <v>3.0790999999999999E-2</v>
      </c>
      <c r="G728" t="s">
        <v>208</v>
      </c>
      <c r="I728">
        <f t="shared" si="40"/>
        <v>0.16665475505800001</v>
      </c>
      <c r="J728">
        <f t="shared" si="41"/>
        <v>2.2642556058000002E-2</v>
      </c>
      <c r="K728">
        <f t="shared" si="42"/>
        <v>3.0735755058000001E-2</v>
      </c>
    </row>
    <row r="729" spans="1:11" x14ac:dyDescent="0.35">
      <c r="A729" t="s">
        <v>26</v>
      </c>
      <c r="B729">
        <v>14593</v>
      </c>
      <c r="C729">
        <v>-7.1110000000000007E-2</v>
      </c>
      <c r="D729" s="5">
        <v>6.8319866999999999E-5</v>
      </c>
      <c r="E729">
        <v>-1.6850591000000002E-2</v>
      </c>
      <c r="F729">
        <v>-1.6084999999999999E-2</v>
      </c>
      <c r="G729" t="s">
        <v>208</v>
      </c>
      <c r="I729">
        <f t="shared" si="40"/>
        <v>-7.1178319867000003E-2</v>
      </c>
      <c r="J729">
        <f t="shared" si="41"/>
        <v>-1.6918910867000002E-2</v>
      </c>
      <c r="K729">
        <f t="shared" si="42"/>
        <v>-1.6153319866999999E-2</v>
      </c>
    </row>
    <row r="730" spans="1:11" x14ac:dyDescent="0.35">
      <c r="A730" t="s">
        <v>27</v>
      </c>
      <c r="B730">
        <v>14593</v>
      </c>
      <c r="C730">
        <v>-0.134629</v>
      </c>
      <c r="D730" s="5">
        <v>7.1599496999999996E-5</v>
      </c>
      <c r="E730">
        <v>-2.5221592000000001E-2</v>
      </c>
      <c r="F730">
        <v>1.2377000000000001E-2</v>
      </c>
      <c r="G730" t="s">
        <v>208</v>
      </c>
      <c r="I730">
        <f t="shared" si="40"/>
        <v>-0.134700599497</v>
      </c>
      <c r="J730">
        <f t="shared" si="41"/>
        <v>-2.5293191497E-2</v>
      </c>
      <c r="K730">
        <f t="shared" si="42"/>
        <v>1.2305400503E-2</v>
      </c>
    </row>
    <row r="731" spans="1:11" x14ac:dyDescent="0.35">
      <c r="A731" t="s">
        <v>28</v>
      </c>
      <c r="B731">
        <v>14593</v>
      </c>
      <c r="C731">
        <v>0.102587</v>
      </c>
      <c r="D731" s="5">
        <v>7.3475609999999999E-5</v>
      </c>
      <c r="E731">
        <v>3.7993193000000001E-2</v>
      </c>
      <c r="F731">
        <v>-3.9216000000000001E-2</v>
      </c>
      <c r="G731" t="s">
        <v>208</v>
      </c>
      <c r="I731">
        <f t="shared" si="40"/>
        <v>0.10251352439</v>
      </c>
      <c r="J731">
        <f t="shared" si="41"/>
        <v>3.7919717390000003E-2</v>
      </c>
      <c r="K731">
        <f t="shared" si="42"/>
        <v>-3.9289475609999999E-2</v>
      </c>
    </row>
    <row r="732" spans="1:11" x14ac:dyDescent="0.35">
      <c r="A732" t="s">
        <v>29</v>
      </c>
      <c r="B732">
        <v>14593</v>
      </c>
      <c r="C732">
        <v>-7.4178999999999995E-2</v>
      </c>
      <c r="D732" s="5">
        <v>7.5899545000000004E-5</v>
      </c>
      <c r="E732">
        <v>1.1474352E-2</v>
      </c>
      <c r="F732">
        <v>4.2977000000000001E-2</v>
      </c>
      <c r="G732" t="s">
        <v>208</v>
      </c>
      <c r="I732">
        <f t="shared" si="40"/>
        <v>-7.4254899544999989E-2</v>
      </c>
      <c r="J732">
        <f t="shared" si="41"/>
        <v>1.1398452454999999E-2</v>
      </c>
      <c r="K732">
        <f t="shared" si="42"/>
        <v>4.2901100455000001E-2</v>
      </c>
    </row>
    <row r="733" spans="1:11" x14ac:dyDescent="0.35">
      <c r="A733" t="s">
        <v>30</v>
      </c>
      <c r="B733">
        <v>14593</v>
      </c>
      <c r="C733">
        <v>0.15865299999999999</v>
      </c>
      <c r="D733" s="5">
        <v>8.1133752000000001E-5</v>
      </c>
      <c r="E733">
        <v>4.3326780000000002E-2</v>
      </c>
      <c r="F733">
        <v>-1.4272999999999999E-2</v>
      </c>
      <c r="G733" t="s">
        <v>208</v>
      </c>
      <c r="I733">
        <f t="shared" si="40"/>
        <v>0.15857186624799999</v>
      </c>
      <c r="J733">
        <f t="shared" si="41"/>
        <v>4.3245646248000001E-2</v>
      </c>
      <c r="K733">
        <f t="shared" si="42"/>
        <v>-1.4354133751999999E-2</v>
      </c>
    </row>
    <row r="734" spans="1:11" x14ac:dyDescent="0.35">
      <c r="A734" t="s">
        <v>31</v>
      </c>
      <c r="B734">
        <v>14593</v>
      </c>
      <c r="C734">
        <v>9.9414000000000002E-2</v>
      </c>
      <c r="D734" s="5">
        <v>8.8369225999999999E-5</v>
      </c>
      <c r="E734">
        <v>-6.0141183999999999E-3</v>
      </c>
      <c r="F734">
        <v>1.3545E-2</v>
      </c>
      <c r="G734" t="s">
        <v>208</v>
      </c>
      <c r="I734">
        <f t="shared" si="40"/>
        <v>9.9325630774000001E-2</v>
      </c>
      <c r="J734">
        <f t="shared" si="41"/>
        <v>-6.1024876260000003E-3</v>
      </c>
      <c r="K734">
        <f t="shared" si="42"/>
        <v>1.3456630774E-2</v>
      </c>
    </row>
    <row r="735" spans="1:11" x14ac:dyDescent="0.35">
      <c r="A735" t="s">
        <v>32</v>
      </c>
      <c r="B735">
        <v>14593</v>
      </c>
      <c r="C735">
        <v>0.143314</v>
      </c>
      <c r="D735" s="5">
        <v>9.2246314999999999E-5</v>
      </c>
      <c r="E735">
        <v>1.0593396999999999E-2</v>
      </c>
      <c r="F735">
        <v>7.6036999999999993E-2</v>
      </c>
      <c r="G735" t="s">
        <v>208</v>
      </c>
      <c r="I735">
        <f t="shared" si="40"/>
        <v>0.14322175368500001</v>
      </c>
      <c r="J735">
        <f t="shared" si="41"/>
        <v>1.0501150684999998E-2</v>
      </c>
      <c r="K735">
        <f t="shared" si="42"/>
        <v>7.5944753684999991E-2</v>
      </c>
    </row>
    <row r="736" spans="1:11" x14ac:dyDescent="0.35">
      <c r="A736" t="s">
        <v>33</v>
      </c>
      <c r="B736">
        <v>14593</v>
      </c>
      <c r="C736">
        <v>7.424E-2</v>
      </c>
      <c r="D736" s="5">
        <v>8.5793734000000005E-5</v>
      </c>
      <c r="E736">
        <v>-1.3740894999999999E-2</v>
      </c>
      <c r="F736">
        <v>-6.424E-3</v>
      </c>
      <c r="G736" t="s">
        <v>208</v>
      </c>
      <c r="I736">
        <f t="shared" si="40"/>
        <v>7.4154206266E-2</v>
      </c>
      <c r="J736">
        <f t="shared" si="41"/>
        <v>-1.3826688734E-2</v>
      </c>
      <c r="K736">
        <f t="shared" si="42"/>
        <v>-6.5097937340000004E-3</v>
      </c>
    </row>
    <row r="737" spans="1:11" x14ac:dyDescent="0.35">
      <c r="A737" t="s">
        <v>34</v>
      </c>
      <c r="B737">
        <v>14593</v>
      </c>
      <c r="C737">
        <v>0.17763499999999999</v>
      </c>
      <c r="D737" s="5">
        <v>1.0221382E-4</v>
      </c>
      <c r="E737">
        <v>3.4165464E-2</v>
      </c>
      <c r="F737">
        <v>5.8189999999999999E-2</v>
      </c>
      <c r="G737" t="s">
        <v>208</v>
      </c>
      <c r="I737">
        <f t="shared" si="40"/>
        <v>0.17753278617999999</v>
      </c>
      <c r="J737">
        <f t="shared" si="41"/>
        <v>3.4063250179999997E-2</v>
      </c>
      <c r="K737">
        <f t="shared" si="42"/>
        <v>5.8087786179999996E-2</v>
      </c>
    </row>
    <row r="738" spans="1:11" x14ac:dyDescent="0.35">
      <c r="A738" t="s">
        <v>35</v>
      </c>
      <c r="B738">
        <v>14593</v>
      </c>
      <c r="C738">
        <v>6.0012000000000003E-2</v>
      </c>
      <c r="D738" s="5">
        <v>1.0811459E-4</v>
      </c>
      <c r="E738">
        <v>3.4972754999999999E-3</v>
      </c>
      <c r="F738">
        <v>5.0508999999999998E-2</v>
      </c>
      <c r="G738" t="s">
        <v>208</v>
      </c>
      <c r="I738">
        <f t="shared" si="40"/>
        <v>5.9903885410000003E-2</v>
      </c>
      <c r="J738">
        <f t="shared" si="41"/>
        <v>3.3891609099999998E-3</v>
      </c>
      <c r="K738">
        <f t="shared" si="42"/>
        <v>5.0400885409999999E-2</v>
      </c>
    </row>
    <row r="739" spans="1:11" x14ac:dyDescent="0.35">
      <c r="A739" t="s">
        <v>36</v>
      </c>
      <c r="B739">
        <v>14593</v>
      </c>
      <c r="C739">
        <v>5.0354999999999997E-2</v>
      </c>
      <c r="D739" s="5">
        <v>1.0946717E-4</v>
      </c>
      <c r="E739">
        <v>4.0057152999999998E-2</v>
      </c>
      <c r="F739">
        <v>9.9263000000000004E-2</v>
      </c>
      <c r="G739" t="s">
        <v>208</v>
      </c>
      <c r="I739">
        <f t="shared" si="40"/>
        <v>5.0245532829999995E-2</v>
      </c>
      <c r="J739">
        <f t="shared" si="41"/>
        <v>3.9947685829999996E-2</v>
      </c>
      <c r="K739">
        <f t="shared" si="42"/>
        <v>9.9153532830000002E-2</v>
      </c>
    </row>
    <row r="740" spans="1:11" x14ac:dyDescent="0.35">
      <c r="A740" t="s">
        <v>37</v>
      </c>
      <c r="B740">
        <v>14593</v>
      </c>
      <c r="C740">
        <v>-9.2967999999999995E-2</v>
      </c>
      <c r="D740" s="5">
        <v>1.1473459E-4</v>
      </c>
      <c r="E740">
        <v>-1.6283552E-3</v>
      </c>
      <c r="F740">
        <v>-1.1110999999999999E-2</v>
      </c>
      <c r="G740" t="s">
        <v>208</v>
      </c>
      <c r="I740">
        <f t="shared" si="40"/>
        <v>-9.3082734589999994E-2</v>
      </c>
      <c r="J740">
        <f t="shared" si="41"/>
        <v>-1.7430897900000001E-3</v>
      </c>
      <c r="K740">
        <f t="shared" si="42"/>
        <v>-1.122573459E-2</v>
      </c>
    </row>
    <row r="741" spans="1:11" x14ac:dyDescent="0.35">
      <c r="A741" t="s">
        <v>38</v>
      </c>
      <c r="B741">
        <v>14593</v>
      </c>
      <c r="C741">
        <v>-8.4246000000000001E-2</v>
      </c>
      <c r="D741" s="5">
        <v>1.2225505E-4</v>
      </c>
      <c r="E741">
        <v>1.8970178000000001E-2</v>
      </c>
      <c r="F741">
        <v>3.6205000000000001E-2</v>
      </c>
      <c r="G741" t="s">
        <v>208</v>
      </c>
      <c r="I741">
        <f t="shared" si="40"/>
        <v>-8.4368255050000007E-2</v>
      </c>
      <c r="J741">
        <f t="shared" si="41"/>
        <v>1.8847922950000002E-2</v>
      </c>
      <c r="K741">
        <f t="shared" si="42"/>
        <v>3.6082744950000002E-2</v>
      </c>
    </row>
    <row r="742" spans="1:11" x14ac:dyDescent="0.35">
      <c r="A742" t="s">
        <v>39</v>
      </c>
      <c r="B742">
        <v>14593</v>
      </c>
      <c r="C742">
        <v>0.12229</v>
      </c>
      <c r="D742" s="5">
        <v>1.2702313E-4</v>
      </c>
      <c r="E742">
        <v>1.3077589000000001E-2</v>
      </c>
      <c r="F742">
        <v>0.12031</v>
      </c>
      <c r="G742" t="s">
        <v>208</v>
      </c>
      <c r="I742">
        <f t="shared" si="40"/>
        <v>0.12216297687</v>
      </c>
      <c r="J742">
        <f t="shared" si="41"/>
        <v>1.295056587E-2</v>
      </c>
      <c r="K742">
        <f t="shared" si="42"/>
        <v>0.12018297687</v>
      </c>
    </row>
    <row r="743" spans="1:11" x14ac:dyDescent="0.35">
      <c r="A743" t="s">
        <v>40</v>
      </c>
      <c r="B743">
        <v>14593</v>
      </c>
      <c r="C743">
        <v>-0.15087400000000001</v>
      </c>
      <c r="D743" s="5">
        <v>1.2549012999999999E-4</v>
      </c>
      <c r="E743">
        <v>-3.10251E-2</v>
      </c>
      <c r="F743">
        <v>-1.3212E-2</v>
      </c>
      <c r="G743" t="s">
        <v>208</v>
      </c>
      <c r="I743">
        <f t="shared" si="40"/>
        <v>-0.15099949013</v>
      </c>
      <c r="J743">
        <f t="shared" si="41"/>
        <v>-3.1150590129999999E-2</v>
      </c>
      <c r="K743">
        <f t="shared" si="42"/>
        <v>-1.3337490129999999E-2</v>
      </c>
    </row>
    <row r="744" spans="1:11" x14ac:dyDescent="0.35">
      <c r="A744" t="s">
        <v>41</v>
      </c>
      <c r="B744">
        <v>14593</v>
      </c>
      <c r="C744">
        <v>-4.1827000000000003E-2</v>
      </c>
      <c r="D744" s="5">
        <v>1.2976839000000001E-4</v>
      </c>
      <c r="E744">
        <v>-3.1822989999999999E-4</v>
      </c>
      <c r="F744">
        <v>-4.6706999999999999E-2</v>
      </c>
      <c r="G744" t="s">
        <v>208</v>
      </c>
      <c r="I744">
        <f t="shared" si="40"/>
        <v>-4.1956768390000003E-2</v>
      </c>
      <c r="J744">
        <f t="shared" si="41"/>
        <v>-4.4799829E-4</v>
      </c>
      <c r="K744">
        <f t="shared" si="42"/>
        <v>-4.6836768389999998E-2</v>
      </c>
    </row>
    <row r="745" spans="1:11" x14ac:dyDescent="0.35">
      <c r="A745" t="s">
        <v>42</v>
      </c>
      <c r="B745">
        <v>14593</v>
      </c>
      <c r="C745">
        <v>0.18665999999999999</v>
      </c>
      <c r="D745" s="5">
        <v>1.2228312999999999E-4</v>
      </c>
      <c r="E745">
        <v>-9.6833464000000008E-3</v>
      </c>
      <c r="F745">
        <v>3.1521E-2</v>
      </c>
      <c r="G745" t="s">
        <v>208</v>
      </c>
      <c r="I745">
        <f t="shared" si="40"/>
        <v>0.18653771686999998</v>
      </c>
      <c r="J745">
        <f t="shared" si="41"/>
        <v>-9.8056295300000002E-3</v>
      </c>
      <c r="K745">
        <f t="shared" si="42"/>
        <v>3.1398716870000003E-2</v>
      </c>
    </row>
    <row r="746" spans="1:11" x14ac:dyDescent="0.35">
      <c r="A746" t="s">
        <v>43</v>
      </c>
      <c r="B746">
        <v>14593</v>
      </c>
      <c r="C746">
        <v>-1.619E-3</v>
      </c>
      <c r="D746" s="5">
        <v>1.3703064E-4</v>
      </c>
      <c r="E746">
        <v>2.5151808000000001E-2</v>
      </c>
      <c r="F746">
        <v>-1.3775000000000001E-2</v>
      </c>
      <c r="G746" t="s">
        <v>208</v>
      </c>
      <c r="I746">
        <f t="shared" si="40"/>
        <v>-1.75603064E-3</v>
      </c>
      <c r="J746">
        <f t="shared" si="41"/>
        <v>2.501477736E-2</v>
      </c>
      <c r="K746">
        <f t="shared" si="42"/>
        <v>-1.3912030640000001E-2</v>
      </c>
    </row>
    <row r="747" spans="1:11" x14ac:dyDescent="0.35">
      <c r="A747" t="s">
        <v>44</v>
      </c>
      <c r="B747">
        <v>14593</v>
      </c>
      <c r="C747">
        <v>0.13456199999999999</v>
      </c>
      <c r="D747" s="5">
        <v>1.3985681000000001E-4</v>
      </c>
      <c r="E747">
        <v>1.9410975E-2</v>
      </c>
      <c r="F747">
        <v>-4.5272E-2</v>
      </c>
      <c r="G747" t="s">
        <v>208</v>
      </c>
      <c r="I747">
        <f t="shared" si="40"/>
        <v>0.13442214318999998</v>
      </c>
      <c r="J747">
        <f t="shared" si="41"/>
        <v>1.9271118190000002E-2</v>
      </c>
      <c r="K747">
        <f t="shared" si="42"/>
        <v>-4.5411856809999998E-2</v>
      </c>
    </row>
    <row r="748" spans="1:11" x14ac:dyDescent="0.35">
      <c r="A748" t="s">
        <v>45</v>
      </c>
      <c r="B748">
        <v>14593</v>
      </c>
      <c r="C748">
        <v>5.3261000000000003E-2</v>
      </c>
      <c r="D748" s="5">
        <v>1.2507204999999999E-4</v>
      </c>
      <c r="E748">
        <v>3.4900713999999999E-2</v>
      </c>
      <c r="F748">
        <v>1.2947999999999999E-2</v>
      </c>
      <c r="G748" t="s">
        <v>208</v>
      </c>
      <c r="I748">
        <f t="shared" si="40"/>
        <v>5.3135927950000002E-2</v>
      </c>
      <c r="J748">
        <f t="shared" si="41"/>
        <v>3.4775641949999998E-2</v>
      </c>
      <c r="K748">
        <f t="shared" si="42"/>
        <v>1.282292795E-2</v>
      </c>
    </row>
    <row r="749" spans="1:11" x14ac:dyDescent="0.35">
      <c r="A749" t="s">
        <v>46</v>
      </c>
      <c r="B749">
        <v>14593</v>
      </c>
      <c r="C749">
        <v>0.13048799999999999</v>
      </c>
      <c r="D749" s="5">
        <v>1.4148996E-4</v>
      </c>
      <c r="E749">
        <v>2.5525862E-2</v>
      </c>
      <c r="F749">
        <v>6.8890999999999994E-2</v>
      </c>
      <c r="G749" t="s">
        <v>208</v>
      </c>
      <c r="I749">
        <f t="shared" si="40"/>
        <v>0.13034651004</v>
      </c>
      <c r="J749">
        <f t="shared" si="41"/>
        <v>2.5384372039999999E-2</v>
      </c>
      <c r="K749">
        <f t="shared" si="42"/>
        <v>6.8749510039999989E-2</v>
      </c>
    </row>
    <row r="750" spans="1:11" x14ac:dyDescent="0.35">
      <c r="A750" t="s">
        <v>47</v>
      </c>
      <c r="B750">
        <v>14593</v>
      </c>
      <c r="C750">
        <v>-7.4404999999999999E-2</v>
      </c>
      <c r="D750" s="5">
        <v>1.4320338999999999E-4</v>
      </c>
      <c r="E750">
        <v>1.0861081E-2</v>
      </c>
      <c r="F750">
        <v>-1.8325999999999999E-2</v>
      </c>
      <c r="G750" t="s">
        <v>208</v>
      </c>
      <c r="I750">
        <f t="shared" si="40"/>
        <v>-7.4548203389999998E-2</v>
      </c>
      <c r="J750">
        <f t="shared" si="41"/>
        <v>1.0717877609999999E-2</v>
      </c>
      <c r="K750">
        <f t="shared" si="42"/>
        <v>-1.8469203389999998E-2</v>
      </c>
    </row>
    <row r="751" spans="1:11" x14ac:dyDescent="0.35">
      <c r="A751" t="s">
        <v>48</v>
      </c>
      <c r="B751">
        <v>14593</v>
      </c>
      <c r="C751">
        <v>1.0489999999999999E-2</v>
      </c>
      <c r="D751" s="5">
        <v>1.2932273999999999E-4</v>
      </c>
      <c r="E751">
        <v>1.9592070999999999E-2</v>
      </c>
      <c r="F751">
        <v>2.5628999999999999E-2</v>
      </c>
      <c r="G751" t="s">
        <v>209</v>
      </c>
      <c r="I751">
        <f t="shared" si="40"/>
        <v>1.0360677259999999E-2</v>
      </c>
      <c r="J751">
        <f t="shared" si="41"/>
        <v>1.9462748259999999E-2</v>
      </c>
      <c r="K751">
        <f t="shared" si="42"/>
        <v>2.5499677259999999E-2</v>
      </c>
    </row>
    <row r="752" spans="1:11" x14ac:dyDescent="0.35">
      <c r="A752" t="s">
        <v>49</v>
      </c>
      <c r="B752">
        <v>14593</v>
      </c>
      <c r="C752">
        <v>-1.3063999999999999E-2</v>
      </c>
      <c r="D752" s="5">
        <v>1.3506156E-4</v>
      </c>
      <c r="E752">
        <v>-1.4020795000000001E-2</v>
      </c>
      <c r="F752">
        <v>2.5451000000000001E-2</v>
      </c>
      <c r="G752" t="s">
        <v>209</v>
      </c>
      <c r="I752">
        <f t="shared" si="40"/>
        <v>-1.3199061559999999E-2</v>
      </c>
      <c r="J752">
        <f t="shared" si="41"/>
        <v>-1.4155856560000001E-2</v>
      </c>
      <c r="K752">
        <f t="shared" si="42"/>
        <v>2.5315938440000001E-2</v>
      </c>
    </row>
    <row r="753" spans="1:11" x14ac:dyDescent="0.35">
      <c r="A753" t="s">
        <v>50</v>
      </c>
      <c r="B753">
        <v>14593</v>
      </c>
      <c r="C753">
        <v>9.8097000000000004E-2</v>
      </c>
      <c r="D753" s="5">
        <v>1.4202721999999999E-4</v>
      </c>
      <c r="E753">
        <v>1.2952416E-2</v>
      </c>
      <c r="F753">
        <v>-1.1131E-2</v>
      </c>
      <c r="G753" t="s">
        <v>209</v>
      </c>
      <c r="I753">
        <f t="shared" si="40"/>
        <v>9.795497278000001E-2</v>
      </c>
      <c r="J753">
        <f t="shared" si="41"/>
        <v>1.2810388779999999E-2</v>
      </c>
      <c r="K753">
        <f t="shared" si="42"/>
        <v>-1.1273027220000001E-2</v>
      </c>
    </row>
    <row r="754" spans="1:11" x14ac:dyDescent="0.35">
      <c r="A754" t="s">
        <v>51</v>
      </c>
      <c r="B754">
        <v>14593</v>
      </c>
      <c r="C754">
        <v>7.4158000000000002E-2</v>
      </c>
      <c r="D754" s="5">
        <v>1.3845289999999999E-4</v>
      </c>
      <c r="E754">
        <v>3.9758044999999999E-2</v>
      </c>
      <c r="F754">
        <v>2.0535000000000001E-2</v>
      </c>
      <c r="G754" t="s">
        <v>209</v>
      </c>
      <c r="I754">
        <f t="shared" si="40"/>
        <v>7.4019547099999999E-2</v>
      </c>
      <c r="J754">
        <f t="shared" si="41"/>
        <v>3.9619592099999996E-2</v>
      </c>
      <c r="K754">
        <f t="shared" si="42"/>
        <v>2.0396547100000002E-2</v>
      </c>
    </row>
    <row r="755" spans="1:11" x14ac:dyDescent="0.35">
      <c r="A755" t="s">
        <v>52</v>
      </c>
      <c r="B755">
        <v>14593</v>
      </c>
      <c r="C755">
        <v>0.214339</v>
      </c>
      <c r="D755" s="5">
        <v>1.3034255E-4</v>
      </c>
      <c r="E755">
        <v>3.8909490999999997E-2</v>
      </c>
      <c r="F755">
        <v>-2.3102999999999999E-2</v>
      </c>
      <c r="G755" t="s">
        <v>209</v>
      </c>
      <c r="I755">
        <f t="shared" si="40"/>
        <v>0.21420865745000001</v>
      </c>
      <c r="J755">
        <f t="shared" si="41"/>
        <v>3.8779148449999995E-2</v>
      </c>
      <c r="K755">
        <f t="shared" si="42"/>
        <v>-2.3233342549999998E-2</v>
      </c>
    </row>
    <row r="756" spans="1:11" x14ac:dyDescent="0.35">
      <c r="A756" t="s">
        <v>53</v>
      </c>
      <c r="B756">
        <v>14593</v>
      </c>
      <c r="C756">
        <v>7.0049999999999999E-3</v>
      </c>
      <c r="D756" s="5">
        <v>1.3037657E-4</v>
      </c>
      <c r="E756">
        <v>-1.4821285E-2</v>
      </c>
      <c r="F756">
        <v>-1.9377999999999999E-2</v>
      </c>
      <c r="G756" t="s">
        <v>209</v>
      </c>
      <c r="I756">
        <f t="shared" si="40"/>
        <v>6.8746234299999999E-3</v>
      </c>
      <c r="J756">
        <f t="shared" si="41"/>
        <v>-1.495166157E-2</v>
      </c>
      <c r="K756">
        <f t="shared" si="42"/>
        <v>-1.9508376569999999E-2</v>
      </c>
    </row>
    <row r="757" spans="1:11" x14ac:dyDescent="0.35">
      <c r="A757" t="s">
        <v>54</v>
      </c>
      <c r="B757">
        <v>14593</v>
      </c>
      <c r="C757">
        <v>7.9645999999999995E-2</v>
      </c>
      <c r="D757" s="5">
        <v>1.1670869E-4</v>
      </c>
      <c r="E757">
        <v>-3.1721417000000002E-2</v>
      </c>
      <c r="F757">
        <v>2.3650000000000001E-2</v>
      </c>
      <c r="G757" t="s">
        <v>209</v>
      </c>
      <c r="I757">
        <f t="shared" si="40"/>
        <v>7.952929131E-2</v>
      </c>
      <c r="J757">
        <f t="shared" si="41"/>
        <v>-3.1838125690000003E-2</v>
      </c>
      <c r="K757">
        <f t="shared" si="42"/>
        <v>2.3533291309999999E-2</v>
      </c>
    </row>
    <row r="758" spans="1:11" x14ac:dyDescent="0.35">
      <c r="A758" t="s">
        <v>55</v>
      </c>
      <c r="B758">
        <v>14593</v>
      </c>
      <c r="C758">
        <v>5.1001999999999999E-2</v>
      </c>
      <c r="D758" s="5">
        <v>1.3702123999999999E-4</v>
      </c>
      <c r="E758">
        <v>1.169362E-2</v>
      </c>
      <c r="F758">
        <v>1.1096E-2</v>
      </c>
      <c r="G758" t="s">
        <v>209</v>
      </c>
      <c r="I758">
        <f t="shared" si="40"/>
        <v>5.0864978759999999E-2</v>
      </c>
      <c r="J758">
        <f t="shared" si="41"/>
        <v>1.155659876E-2</v>
      </c>
      <c r="K758">
        <f t="shared" si="42"/>
        <v>1.095897876E-2</v>
      </c>
    </row>
    <row r="759" spans="1:11" x14ac:dyDescent="0.35">
      <c r="A759" t="s">
        <v>56</v>
      </c>
      <c r="B759">
        <v>14593</v>
      </c>
      <c r="C759">
        <v>0.108247</v>
      </c>
      <c r="D759" s="5">
        <v>1.1455195999999999E-4</v>
      </c>
      <c r="E759">
        <v>4.0834490000000001E-2</v>
      </c>
      <c r="F759">
        <v>0.10508099999999999</v>
      </c>
      <c r="G759" t="s">
        <v>209</v>
      </c>
      <c r="I759">
        <f t="shared" si="40"/>
        <v>0.10813244804</v>
      </c>
      <c r="J759">
        <f t="shared" si="41"/>
        <v>4.0719938040000001E-2</v>
      </c>
      <c r="K759">
        <f t="shared" si="42"/>
        <v>0.10496644803999999</v>
      </c>
    </row>
    <row r="760" spans="1:11" x14ac:dyDescent="0.35">
      <c r="A760" t="s">
        <v>57</v>
      </c>
      <c r="B760">
        <v>14593</v>
      </c>
      <c r="C760">
        <v>0.237701</v>
      </c>
      <c r="D760" s="5">
        <v>9.2476468E-5</v>
      </c>
      <c r="E760">
        <v>2.8808464999999998E-2</v>
      </c>
      <c r="F760">
        <v>6.9514000000000006E-2</v>
      </c>
      <c r="G760" t="s">
        <v>209</v>
      </c>
      <c r="I760">
        <f t="shared" si="40"/>
        <v>0.23760852353199999</v>
      </c>
      <c r="J760">
        <f t="shared" si="41"/>
        <v>2.8715988531999997E-2</v>
      </c>
      <c r="K760">
        <f t="shared" si="42"/>
        <v>6.9421523532000012E-2</v>
      </c>
    </row>
    <row r="761" spans="1:11" x14ac:dyDescent="0.35">
      <c r="A761" t="s">
        <v>58</v>
      </c>
      <c r="B761">
        <v>14593</v>
      </c>
      <c r="C761">
        <v>-4.0695000000000002E-2</v>
      </c>
      <c r="D761" s="5">
        <v>1.066585E-4</v>
      </c>
      <c r="E761">
        <v>-3.5230382999999997E-2</v>
      </c>
      <c r="F761">
        <v>-1.6535000000000001E-2</v>
      </c>
      <c r="G761" t="s">
        <v>209</v>
      </c>
      <c r="I761">
        <f t="shared" si="40"/>
        <v>-4.0801658500000004E-2</v>
      </c>
      <c r="J761">
        <f t="shared" si="41"/>
        <v>-3.5337041499999999E-2</v>
      </c>
      <c r="K761">
        <f t="shared" si="42"/>
        <v>-1.66416585E-2</v>
      </c>
    </row>
    <row r="762" spans="1:11" x14ac:dyDescent="0.35">
      <c r="A762" t="s">
        <v>59</v>
      </c>
      <c r="B762">
        <v>14593</v>
      </c>
      <c r="C762">
        <v>8.7038000000000004E-2</v>
      </c>
      <c r="D762" s="5">
        <v>1.0027451E-4</v>
      </c>
      <c r="E762">
        <v>-4.3625202999999996E-3</v>
      </c>
      <c r="F762">
        <v>6.6476999999999994E-2</v>
      </c>
      <c r="G762" t="s">
        <v>209</v>
      </c>
      <c r="I762">
        <f t="shared" si="40"/>
        <v>8.6937725490000006E-2</v>
      </c>
      <c r="J762">
        <f t="shared" si="41"/>
        <v>-4.4627948099999993E-3</v>
      </c>
      <c r="K762">
        <f t="shared" si="42"/>
        <v>6.6376725489999996E-2</v>
      </c>
    </row>
    <row r="763" spans="1:11" x14ac:dyDescent="0.35">
      <c r="A763" t="s">
        <v>60</v>
      </c>
      <c r="B763">
        <v>14593</v>
      </c>
      <c r="C763">
        <v>-0.31663999999999998</v>
      </c>
      <c r="D763" s="5">
        <v>7.2702277999999997E-5</v>
      </c>
      <c r="E763">
        <v>-6.2072418999999997E-2</v>
      </c>
      <c r="F763">
        <v>0.108416</v>
      </c>
      <c r="G763" t="s">
        <v>209</v>
      </c>
      <c r="I763">
        <f t="shared" si="40"/>
        <v>-0.31671270227799997</v>
      </c>
      <c r="J763">
        <f t="shared" si="41"/>
        <v>-6.2145121277999996E-2</v>
      </c>
      <c r="K763">
        <f t="shared" si="42"/>
        <v>0.10834329772199999</v>
      </c>
    </row>
    <row r="764" spans="1:11" x14ac:dyDescent="0.35">
      <c r="A764" t="s">
        <v>61</v>
      </c>
      <c r="B764">
        <v>14593</v>
      </c>
      <c r="C764">
        <v>-7.6388999999999999E-2</v>
      </c>
      <c r="D764" s="5">
        <v>4.3220585000000003E-5</v>
      </c>
      <c r="E764">
        <v>-2.1622278000000002E-2</v>
      </c>
      <c r="F764">
        <v>5.2297999999999997E-2</v>
      </c>
      <c r="G764" t="s">
        <v>209</v>
      </c>
      <c r="I764">
        <f t="shared" ref="I764:I827" si="43">C764-D764</f>
        <v>-7.6432220585000002E-2</v>
      </c>
      <c r="J764">
        <f t="shared" ref="J764:J827" si="44">E764-D764</f>
        <v>-2.1665498585000002E-2</v>
      </c>
      <c r="K764">
        <f t="shared" ref="K764:K827" si="45">F764-D764</f>
        <v>5.2254779414999994E-2</v>
      </c>
    </row>
    <row r="765" spans="1:11" x14ac:dyDescent="0.35">
      <c r="A765" t="s">
        <v>62</v>
      </c>
      <c r="B765">
        <v>14593</v>
      </c>
      <c r="C765">
        <v>0.147816</v>
      </c>
      <c r="D765" s="5">
        <v>5.6849163000000003E-5</v>
      </c>
      <c r="E765">
        <v>-1.0335677999999999E-2</v>
      </c>
      <c r="F765">
        <v>-5.9991999999999997E-2</v>
      </c>
      <c r="G765" t="s">
        <v>209</v>
      </c>
      <c r="I765">
        <f t="shared" si="43"/>
        <v>0.147759150837</v>
      </c>
      <c r="J765">
        <f t="shared" si="44"/>
        <v>-1.0392527162999999E-2</v>
      </c>
      <c r="K765">
        <f t="shared" si="45"/>
        <v>-6.0048849162999997E-2</v>
      </c>
    </row>
    <row r="766" spans="1:11" x14ac:dyDescent="0.35">
      <c r="A766" t="s">
        <v>63</v>
      </c>
      <c r="B766">
        <v>14593</v>
      </c>
      <c r="C766">
        <v>0.21219499999999999</v>
      </c>
      <c r="D766" s="5">
        <v>3.2929674E-5</v>
      </c>
      <c r="E766">
        <v>5.1065567999999999E-2</v>
      </c>
      <c r="F766">
        <v>-4.1588E-2</v>
      </c>
      <c r="G766" t="s">
        <v>209</v>
      </c>
      <c r="I766">
        <f t="shared" si="43"/>
        <v>0.21216207032599999</v>
      </c>
      <c r="J766">
        <f t="shared" si="44"/>
        <v>5.1032638325999996E-2</v>
      </c>
      <c r="K766">
        <f t="shared" si="45"/>
        <v>-4.1620929674000003E-2</v>
      </c>
    </row>
    <row r="767" spans="1:11" x14ac:dyDescent="0.35">
      <c r="A767" t="s">
        <v>64</v>
      </c>
      <c r="B767">
        <v>14593</v>
      </c>
      <c r="C767">
        <v>8.5082000000000005E-2</v>
      </c>
      <c r="D767" s="5">
        <v>2.903705E-5</v>
      </c>
      <c r="E767">
        <v>2.3818125999999998E-2</v>
      </c>
      <c r="F767">
        <v>9.2320000000000006E-3</v>
      </c>
      <c r="G767" t="s">
        <v>209</v>
      </c>
      <c r="I767">
        <f t="shared" si="43"/>
        <v>8.5052962950000005E-2</v>
      </c>
      <c r="J767">
        <f t="shared" si="44"/>
        <v>2.3789088949999999E-2</v>
      </c>
      <c r="K767">
        <f t="shared" si="45"/>
        <v>9.2029629500000008E-3</v>
      </c>
    </row>
    <row r="768" spans="1:11" x14ac:dyDescent="0.35">
      <c r="A768" t="s">
        <v>65</v>
      </c>
      <c r="B768">
        <v>14593</v>
      </c>
      <c r="C768">
        <v>-0.112901</v>
      </c>
      <c r="D768" s="5">
        <v>5.4623592999999997E-5</v>
      </c>
      <c r="E768">
        <v>-7.8533299000000001E-2</v>
      </c>
      <c r="F768">
        <v>4.5169000000000001E-2</v>
      </c>
      <c r="G768" t="s">
        <v>209</v>
      </c>
      <c r="I768">
        <f t="shared" si="43"/>
        <v>-0.112955623593</v>
      </c>
      <c r="J768">
        <f t="shared" si="44"/>
        <v>-7.8587922593000001E-2</v>
      </c>
      <c r="K768">
        <f t="shared" si="45"/>
        <v>4.5114376407000001E-2</v>
      </c>
    </row>
    <row r="769" spans="1:11" x14ac:dyDescent="0.35">
      <c r="A769" t="s">
        <v>66</v>
      </c>
      <c r="B769">
        <v>14593</v>
      </c>
      <c r="C769">
        <v>-5.0705E-2</v>
      </c>
      <c r="D769" s="5">
        <v>4.1826541000000002E-5</v>
      </c>
      <c r="E769">
        <v>-1.3053237000000001E-2</v>
      </c>
      <c r="F769">
        <v>-1.4442E-2</v>
      </c>
      <c r="G769" t="s">
        <v>209</v>
      </c>
      <c r="I769">
        <f t="shared" si="43"/>
        <v>-5.0746826540999997E-2</v>
      </c>
      <c r="J769">
        <f t="shared" si="44"/>
        <v>-1.3095063541000001E-2</v>
      </c>
      <c r="K769">
        <f t="shared" si="45"/>
        <v>-1.4483826541E-2</v>
      </c>
    </row>
    <row r="770" spans="1:11" x14ac:dyDescent="0.35">
      <c r="A770" t="s">
        <v>67</v>
      </c>
      <c r="B770">
        <v>14593</v>
      </c>
      <c r="C770">
        <v>6.6561999999999996E-2</v>
      </c>
      <c r="D770" s="5">
        <v>4.1830043999999998E-5</v>
      </c>
      <c r="E770">
        <v>1.0535574000000001E-2</v>
      </c>
      <c r="F770">
        <v>-9.2917E-2</v>
      </c>
      <c r="G770" t="s">
        <v>209</v>
      </c>
      <c r="I770">
        <f t="shared" si="43"/>
        <v>6.6520169955999991E-2</v>
      </c>
      <c r="J770">
        <f t="shared" si="44"/>
        <v>1.0493743956000001E-2</v>
      </c>
      <c r="K770">
        <f t="shared" si="45"/>
        <v>-9.2958830044000004E-2</v>
      </c>
    </row>
    <row r="771" spans="1:11" x14ac:dyDescent="0.35">
      <c r="A771" t="s">
        <v>68</v>
      </c>
      <c r="B771">
        <v>14593</v>
      </c>
      <c r="C771">
        <v>-0.32955800000000002</v>
      </c>
      <c r="D771" s="5">
        <v>4.4332078999999998E-5</v>
      </c>
      <c r="E771">
        <v>-9.8912783000000004E-2</v>
      </c>
      <c r="F771">
        <v>4.1120999999999998E-2</v>
      </c>
      <c r="G771" t="s">
        <v>209</v>
      </c>
      <c r="I771">
        <f t="shared" si="43"/>
        <v>-0.32960233207900003</v>
      </c>
      <c r="J771">
        <f t="shared" si="44"/>
        <v>-9.8957115078999999E-2</v>
      </c>
      <c r="K771">
        <f t="shared" si="45"/>
        <v>4.1076667920999996E-2</v>
      </c>
    </row>
    <row r="772" spans="1:11" x14ac:dyDescent="0.35">
      <c r="A772" t="s">
        <v>69</v>
      </c>
      <c r="B772">
        <v>14593</v>
      </c>
      <c r="C772">
        <v>-5.3405000000000001E-2</v>
      </c>
      <c r="D772" s="5">
        <v>1.54194E-5</v>
      </c>
      <c r="E772">
        <v>-0.26823696000000002</v>
      </c>
      <c r="F772">
        <v>-0.16139700000000001</v>
      </c>
      <c r="G772" t="s">
        <v>209</v>
      </c>
      <c r="I772">
        <f t="shared" si="43"/>
        <v>-5.3420419400000002E-2</v>
      </c>
      <c r="J772">
        <f t="shared" si="44"/>
        <v>-0.26825237940000002</v>
      </c>
      <c r="K772">
        <f t="shared" si="45"/>
        <v>-0.16141241940000001</v>
      </c>
    </row>
    <row r="773" spans="1:11" x14ac:dyDescent="0.35">
      <c r="A773" t="s">
        <v>70</v>
      </c>
      <c r="B773">
        <v>14593</v>
      </c>
      <c r="C773">
        <v>-0.13867499999999999</v>
      </c>
      <c r="D773" s="5">
        <v>3.4029399E-6</v>
      </c>
      <c r="E773">
        <v>-6.0760938E-2</v>
      </c>
      <c r="F773">
        <v>0.12573599999999999</v>
      </c>
      <c r="G773" t="s">
        <v>209</v>
      </c>
      <c r="I773">
        <f t="shared" si="43"/>
        <v>-0.1386784029399</v>
      </c>
      <c r="J773">
        <f t="shared" si="44"/>
        <v>-6.0764340939899998E-2</v>
      </c>
      <c r="K773">
        <f t="shared" si="45"/>
        <v>0.12573259706009998</v>
      </c>
    </row>
    <row r="774" spans="1:11" x14ac:dyDescent="0.35">
      <c r="A774" t="s">
        <v>71</v>
      </c>
      <c r="B774">
        <v>14593</v>
      </c>
      <c r="C774">
        <v>-7.8990000000000005E-2</v>
      </c>
      <c r="D774" s="5">
        <v>9.7223551000000005E-7</v>
      </c>
      <c r="E774">
        <v>2.2324005000000001E-2</v>
      </c>
      <c r="F774">
        <v>7.7325000000000005E-2</v>
      </c>
      <c r="G774" t="s">
        <v>209</v>
      </c>
      <c r="I774">
        <f t="shared" si="43"/>
        <v>-7.8990972235510007E-2</v>
      </c>
      <c r="J774">
        <f t="shared" si="44"/>
        <v>2.2323032764490002E-2</v>
      </c>
      <c r="K774">
        <f t="shared" si="45"/>
        <v>7.7324027764490003E-2</v>
      </c>
    </row>
    <row r="775" spans="1:11" x14ac:dyDescent="0.35">
      <c r="A775" t="s">
        <v>72</v>
      </c>
      <c r="B775">
        <v>14593</v>
      </c>
      <c r="C775">
        <v>5.6004999999999999E-2</v>
      </c>
      <c r="D775" s="5">
        <v>4.1666856999999999E-7</v>
      </c>
      <c r="E775">
        <v>-7.8490331999999996E-2</v>
      </c>
      <c r="F775">
        <v>5.5363000000000002E-2</v>
      </c>
      <c r="G775" t="s">
        <v>209</v>
      </c>
      <c r="I775">
        <f t="shared" si="43"/>
        <v>5.6004583331429998E-2</v>
      </c>
      <c r="J775">
        <f t="shared" si="44"/>
        <v>-7.849074866856999E-2</v>
      </c>
      <c r="K775">
        <f t="shared" si="45"/>
        <v>5.5362583331430001E-2</v>
      </c>
    </row>
    <row r="776" spans="1:11" x14ac:dyDescent="0.35">
      <c r="A776" t="s">
        <v>73</v>
      </c>
      <c r="B776">
        <v>14593</v>
      </c>
      <c r="C776">
        <v>-9.0980000000000002E-3</v>
      </c>
      <c r="D776" s="5">
        <v>4.1669009000000002E-6</v>
      </c>
      <c r="E776">
        <v>-0.10050758</v>
      </c>
      <c r="F776">
        <v>1.4456E-2</v>
      </c>
      <c r="G776" t="s">
        <v>209</v>
      </c>
      <c r="I776">
        <f t="shared" si="43"/>
        <v>-9.1021669009000005E-3</v>
      </c>
      <c r="J776">
        <f t="shared" si="44"/>
        <v>-0.10051174690089999</v>
      </c>
      <c r="K776">
        <f t="shared" si="45"/>
        <v>1.44518330991E-2</v>
      </c>
    </row>
    <row r="777" spans="1:11" x14ac:dyDescent="0.35">
      <c r="A777" t="s">
        <v>74</v>
      </c>
      <c r="B777">
        <v>14593</v>
      </c>
      <c r="C777">
        <v>0.17702399999999999</v>
      </c>
      <c r="D777" s="5">
        <v>4.4447111E-6</v>
      </c>
      <c r="E777">
        <v>8.7015814999999996E-2</v>
      </c>
      <c r="F777">
        <v>-2.537E-2</v>
      </c>
      <c r="G777" t="s">
        <v>209</v>
      </c>
      <c r="I777">
        <f t="shared" si="43"/>
        <v>0.17701955528889998</v>
      </c>
      <c r="J777">
        <f t="shared" si="44"/>
        <v>8.7011370288899992E-2</v>
      </c>
      <c r="K777">
        <f t="shared" si="45"/>
        <v>-2.5374444711100001E-2</v>
      </c>
    </row>
    <row r="778" spans="1:11" x14ac:dyDescent="0.35">
      <c r="A778" t="s">
        <v>75</v>
      </c>
      <c r="B778">
        <v>14593</v>
      </c>
      <c r="C778">
        <v>0.19701299999999999</v>
      </c>
      <c r="D778" s="5">
        <v>3.7501618E-6</v>
      </c>
      <c r="E778">
        <v>0.10942493</v>
      </c>
      <c r="F778">
        <v>-3.3341000000000003E-2</v>
      </c>
      <c r="G778" t="s">
        <v>209</v>
      </c>
      <c r="I778">
        <f t="shared" si="43"/>
        <v>0.19700924983820001</v>
      </c>
      <c r="J778">
        <f t="shared" si="44"/>
        <v>0.1094211798382</v>
      </c>
      <c r="K778">
        <f t="shared" si="45"/>
        <v>-3.3344750161800003E-2</v>
      </c>
    </row>
    <row r="779" spans="1:11" x14ac:dyDescent="0.35">
      <c r="A779" t="s">
        <v>76</v>
      </c>
      <c r="B779">
        <v>14593</v>
      </c>
      <c r="C779">
        <v>7.9312999999999995E-2</v>
      </c>
      <c r="D779" s="5">
        <v>1.2500218999999999E-6</v>
      </c>
      <c r="E779">
        <v>6.7855342999999999E-2</v>
      </c>
      <c r="F779">
        <v>0.102326</v>
      </c>
      <c r="G779" t="s">
        <v>209</v>
      </c>
      <c r="I779">
        <f t="shared" si="43"/>
        <v>7.9311749978099991E-2</v>
      </c>
      <c r="J779">
        <f t="shared" si="44"/>
        <v>6.7854092978099995E-2</v>
      </c>
      <c r="K779">
        <f t="shared" si="45"/>
        <v>0.1023247499781</v>
      </c>
    </row>
    <row r="780" spans="1:11" x14ac:dyDescent="0.35">
      <c r="A780" t="s">
        <v>77</v>
      </c>
      <c r="B780">
        <v>14593</v>
      </c>
      <c r="C780">
        <v>4.8744999999999997E-2</v>
      </c>
      <c r="D780" s="5">
        <v>4.1669009000000002E-6</v>
      </c>
      <c r="E780">
        <v>-3.0959923999999998E-3</v>
      </c>
      <c r="F780">
        <v>-5.2183E-2</v>
      </c>
      <c r="G780" t="s">
        <v>209</v>
      </c>
      <c r="I780">
        <f t="shared" si="43"/>
        <v>4.8740833099099996E-2</v>
      </c>
      <c r="J780">
        <f t="shared" si="44"/>
        <v>-3.1001593008999997E-3</v>
      </c>
      <c r="K780">
        <f t="shared" si="45"/>
        <v>-5.2187166900900001E-2</v>
      </c>
    </row>
    <row r="781" spans="1:11" x14ac:dyDescent="0.35">
      <c r="A781" t="s">
        <v>78</v>
      </c>
      <c r="B781">
        <v>14593</v>
      </c>
      <c r="C781">
        <v>0.14716000000000001</v>
      </c>
      <c r="D781" s="5">
        <v>3.472361E-6</v>
      </c>
      <c r="E781">
        <v>8.1810951000000007E-2</v>
      </c>
      <c r="F781">
        <v>2.3799000000000001E-2</v>
      </c>
      <c r="G781" t="s">
        <v>209</v>
      </c>
      <c r="I781">
        <f t="shared" si="43"/>
        <v>0.147156527639</v>
      </c>
      <c r="J781">
        <f t="shared" si="44"/>
        <v>8.1807478639000009E-2</v>
      </c>
      <c r="K781">
        <f t="shared" si="45"/>
        <v>2.3795527638999999E-2</v>
      </c>
    </row>
    <row r="782" spans="1:11" x14ac:dyDescent="0.35">
      <c r="A782" t="s">
        <v>79</v>
      </c>
      <c r="B782">
        <v>14593</v>
      </c>
      <c r="C782">
        <v>2.9499999999999998E-2</v>
      </c>
      <c r="D782" s="5">
        <v>3.7501898E-6</v>
      </c>
      <c r="E782">
        <v>3.1335082E-2</v>
      </c>
      <c r="F782">
        <v>5.3600000000000002E-4</v>
      </c>
      <c r="G782" t="s">
        <v>209</v>
      </c>
      <c r="I782">
        <f t="shared" si="43"/>
        <v>2.94962498102E-2</v>
      </c>
      <c r="J782">
        <f t="shared" si="44"/>
        <v>3.1331331810200001E-2</v>
      </c>
      <c r="K782">
        <f t="shared" si="45"/>
        <v>5.3224981020000002E-4</v>
      </c>
    </row>
    <row r="783" spans="1:11" x14ac:dyDescent="0.35">
      <c r="A783" t="s">
        <v>80</v>
      </c>
      <c r="B783">
        <v>14593</v>
      </c>
      <c r="C783">
        <v>0.101896</v>
      </c>
      <c r="D783" s="5">
        <v>3.4723669000000002E-6</v>
      </c>
      <c r="E783">
        <v>4.5273893000000003E-2</v>
      </c>
      <c r="F783">
        <v>5.8351E-2</v>
      </c>
      <c r="G783" t="s">
        <v>209</v>
      </c>
      <c r="I783">
        <f t="shared" si="43"/>
        <v>0.1018925276331</v>
      </c>
      <c r="J783">
        <f t="shared" si="44"/>
        <v>4.5270420633100002E-2</v>
      </c>
      <c r="K783">
        <f t="shared" si="45"/>
        <v>5.8347527633099999E-2</v>
      </c>
    </row>
    <row r="784" spans="1:11" x14ac:dyDescent="0.35">
      <c r="A784" t="s">
        <v>81</v>
      </c>
      <c r="B784">
        <v>14593</v>
      </c>
      <c r="C784">
        <v>1.6995E-2</v>
      </c>
      <c r="D784" s="5">
        <v>1.2500171000000001E-6</v>
      </c>
      <c r="E784">
        <v>-3.1813566000000001E-2</v>
      </c>
      <c r="F784">
        <v>3.7227999999999997E-2</v>
      </c>
      <c r="G784" t="s">
        <v>209</v>
      </c>
      <c r="I784">
        <f t="shared" si="43"/>
        <v>1.69937499829E-2</v>
      </c>
      <c r="J784">
        <f t="shared" si="44"/>
        <v>-3.1814816017100005E-2</v>
      </c>
      <c r="K784">
        <f t="shared" si="45"/>
        <v>3.7226749982899994E-2</v>
      </c>
    </row>
    <row r="785" spans="1:11" x14ac:dyDescent="0.35">
      <c r="A785" t="s">
        <v>82</v>
      </c>
      <c r="B785">
        <v>14593</v>
      </c>
      <c r="C785">
        <v>6.0531000000000001E-2</v>
      </c>
      <c r="D785" s="5">
        <v>8.3334305000000002E-7</v>
      </c>
      <c r="E785">
        <v>5.1395169999999997E-2</v>
      </c>
      <c r="F785">
        <v>0.12786500000000001</v>
      </c>
      <c r="G785" t="s">
        <v>209</v>
      </c>
      <c r="I785">
        <f t="shared" si="43"/>
        <v>6.0530166656950005E-2</v>
      </c>
      <c r="J785">
        <f t="shared" si="44"/>
        <v>5.139433665695E-2</v>
      </c>
      <c r="K785">
        <f t="shared" si="45"/>
        <v>0.12786416665695</v>
      </c>
    </row>
    <row r="786" spans="1:11" x14ac:dyDescent="0.35">
      <c r="A786" t="s">
        <v>83</v>
      </c>
      <c r="B786">
        <v>14593</v>
      </c>
      <c r="C786">
        <v>5.4134000000000002E-2</v>
      </c>
      <c r="D786" s="5">
        <v>2.5000749999999999E-6</v>
      </c>
      <c r="E786">
        <v>2.8345333E-2</v>
      </c>
      <c r="F786">
        <v>-7.2034000000000001E-2</v>
      </c>
      <c r="G786" t="s">
        <v>209</v>
      </c>
      <c r="I786">
        <f t="shared" si="43"/>
        <v>5.4131499925E-2</v>
      </c>
      <c r="J786">
        <f t="shared" si="44"/>
        <v>2.8342832925000002E-2</v>
      </c>
      <c r="K786">
        <f t="shared" si="45"/>
        <v>-7.2036500074999996E-2</v>
      </c>
    </row>
    <row r="787" spans="1:11" x14ac:dyDescent="0.35">
      <c r="A787" t="s">
        <v>84</v>
      </c>
      <c r="B787">
        <v>14593</v>
      </c>
      <c r="C787">
        <v>-8.8591000000000003E-2</v>
      </c>
      <c r="D787" s="5">
        <v>1.5278105E-6</v>
      </c>
      <c r="E787">
        <v>-3.7133395999999999E-2</v>
      </c>
      <c r="F787">
        <v>-1.2579999999999999E-2</v>
      </c>
      <c r="G787" t="s">
        <v>209</v>
      </c>
      <c r="I787">
        <f t="shared" si="43"/>
        <v>-8.8592527810500005E-2</v>
      </c>
      <c r="J787">
        <f t="shared" si="44"/>
        <v>-3.7134923810500001E-2</v>
      </c>
      <c r="K787">
        <f t="shared" si="45"/>
        <v>-1.2581527810499999E-2</v>
      </c>
    </row>
    <row r="788" spans="1:11" x14ac:dyDescent="0.35">
      <c r="A788" t="s">
        <v>85</v>
      </c>
      <c r="B788">
        <v>14593</v>
      </c>
      <c r="C788">
        <v>6.5379999999999994E-2</v>
      </c>
      <c r="D788" s="5">
        <v>4.1666901999999998E-7</v>
      </c>
      <c r="E788">
        <v>3.4774009000000002E-2</v>
      </c>
      <c r="F788">
        <v>3.2747999999999999E-2</v>
      </c>
      <c r="G788" t="s">
        <v>209</v>
      </c>
      <c r="I788">
        <f t="shared" si="43"/>
        <v>6.5379583330979998E-2</v>
      </c>
      <c r="J788">
        <f t="shared" si="44"/>
        <v>3.4773592330979999E-2</v>
      </c>
      <c r="K788">
        <f t="shared" si="45"/>
        <v>3.2747583330979997E-2</v>
      </c>
    </row>
    <row r="789" spans="1:11" x14ac:dyDescent="0.35">
      <c r="A789" t="s">
        <v>86</v>
      </c>
      <c r="B789">
        <v>14593</v>
      </c>
      <c r="C789">
        <v>0.14846999999999999</v>
      </c>
      <c r="D789" s="5">
        <v>2.6389829999999998E-6</v>
      </c>
      <c r="E789">
        <v>6.3639558999999998E-2</v>
      </c>
      <c r="F789">
        <v>-4.3860000000000001E-3</v>
      </c>
      <c r="G789" t="s">
        <v>209</v>
      </c>
      <c r="I789">
        <f t="shared" si="43"/>
        <v>0.148467361017</v>
      </c>
      <c r="J789">
        <f t="shared" si="44"/>
        <v>6.3636920016999998E-2</v>
      </c>
      <c r="K789">
        <f t="shared" si="45"/>
        <v>-4.3886389830000002E-3</v>
      </c>
    </row>
    <row r="790" spans="1:11" x14ac:dyDescent="0.35">
      <c r="A790" t="s">
        <v>87</v>
      </c>
      <c r="B790">
        <v>14593</v>
      </c>
      <c r="C790">
        <v>0.11102099999999999</v>
      </c>
      <c r="D790" s="5">
        <v>4.0279559999999999E-6</v>
      </c>
      <c r="E790">
        <v>2.0069690000000001E-2</v>
      </c>
      <c r="F790">
        <v>5.8833999999999997E-2</v>
      </c>
      <c r="G790" t="s">
        <v>209</v>
      </c>
      <c r="I790">
        <f t="shared" si="43"/>
        <v>0.11101697204399999</v>
      </c>
      <c r="J790">
        <f t="shared" si="44"/>
        <v>2.0065662044E-2</v>
      </c>
      <c r="K790">
        <f t="shared" si="45"/>
        <v>5.8829972043999999E-2</v>
      </c>
    </row>
    <row r="791" spans="1:11" x14ac:dyDescent="0.35">
      <c r="A791" t="s">
        <v>88</v>
      </c>
      <c r="B791">
        <v>14593</v>
      </c>
      <c r="C791">
        <v>-1.6125E-2</v>
      </c>
      <c r="D791" s="5">
        <v>4.1669009000000002E-6</v>
      </c>
      <c r="E791">
        <v>-7.9213500000000006E-2</v>
      </c>
      <c r="F791">
        <v>3.0522000000000001E-2</v>
      </c>
      <c r="G791" t="s">
        <v>209</v>
      </c>
      <c r="I791">
        <f t="shared" si="43"/>
        <v>-1.6129166900900001E-2</v>
      </c>
      <c r="J791">
        <f t="shared" si="44"/>
        <v>-7.92176669009E-2</v>
      </c>
      <c r="K791">
        <f t="shared" si="45"/>
        <v>3.05178330991E-2</v>
      </c>
    </row>
    <row r="792" spans="1:11" x14ac:dyDescent="0.35">
      <c r="A792" t="s">
        <v>89</v>
      </c>
      <c r="B792">
        <v>14593</v>
      </c>
      <c r="C792">
        <v>-2.0826999999999998E-2</v>
      </c>
      <c r="D792" s="5">
        <v>4.4447111E-6</v>
      </c>
      <c r="E792">
        <v>-5.0825889999999999E-2</v>
      </c>
      <c r="F792">
        <v>2.3545E-2</v>
      </c>
      <c r="G792" t="s">
        <v>209</v>
      </c>
      <c r="I792">
        <f t="shared" si="43"/>
        <v>-2.0831444711099999E-2</v>
      </c>
      <c r="J792">
        <f t="shared" si="44"/>
        <v>-5.0830334711099996E-2</v>
      </c>
      <c r="K792">
        <f t="shared" si="45"/>
        <v>2.3540555288899999E-2</v>
      </c>
    </row>
    <row r="793" spans="1:11" x14ac:dyDescent="0.35">
      <c r="A793" t="s">
        <v>90</v>
      </c>
      <c r="B793">
        <v>14593</v>
      </c>
      <c r="C793">
        <v>2.2741000000000001E-2</v>
      </c>
      <c r="D793" s="5">
        <v>3.7501547000000001E-6</v>
      </c>
      <c r="E793">
        <v>7.0217035999999997E-2</v>
      </c>
      <c r="F793">
        <v>-5.0871E-2</v>
      </c>
      <c r="G793" t="s">
        <v>209</v>
      </c>
      <c r="I793">
        <f t="shared" si="43"/>
        <v>2.2737249845300001E-2</v>
      </c>
      <c r="J793">
        <f t="shared" si="44"/>
        <v>7.0213285845299997E-2</v>
      </c>
      <c r="K793">
        <f t="shared" si="45"/>
        <v>-5.0874750154699999E-2</v>
      </c>
    </row>
    <row r="794" spans="1:11" x14ac:dyDescent="0.35">
      <c r="A794" t="s">
        <v>91</v>
      </c>
      <c r="B794">
        <v>14593</v>
      </c>
      <c r="C794">
        <v>-5.5004999999999998E-2</v>
      </c>
      <c r="D794" s="5">
        <v>4.1669009000000002E-6</v>
      </c>
      <c r="E794">
        <v>-4.2918108000000003E-2</v>
      </c>
      <c r="F794">
        <v>5.7061000000000001E-2</v>
      </c>
      <c r="G794" t="s">
        <v>209</v>
      </c>
      <c r="I794">
        <f t="shared" si="43"/>
        <v>-5.5009166900899999E-2</v>
      </c>
      <c r="J794">
        <f t="shared" si="44"/>
        <v>-4.2922274900900004E-2</v>
      </c>
      <c r="K794">
        <f t="shared" si="45"/>
        <v>5.70568330991E-2</v>
      </c>
    </row>
    <row r="795" spans="1:11" x14ac:dyDescent="0.35">
      <c r="A795" t="s">
        <v>92</v>
      </c>
      <c r="B795">
        <v>14593</v>
      </c>
      <c r="C795">
        <v>0.167215</v>
      </c>
      <c r="D795" s="5">
        <v>4.7224784999999996E-6</v>
      </c>
      <c r="E795">
        <v>9.1566808999999999E-2</v>
      </c>
      <c r="F795">
        <v>4.7756E-2</v>
      </c>
      <c r="G795" t="s">
        <v>209</v>
      </c>
      <c r="I795">
        <f t="shared" si="43"/>
        <v>0.1672102775215</v>
      </c>
      <c r="J795">
        <f t="shared" si="44"/>
        <v>9.1562086521499997E-2</v>
      </c>
      <c r="K795">
        <f t="shared" si="45"/>
        <v>4.7751277521499998E-2</v>
      </c>
    </row>
    <row r="796" spans="1:11" x14ac:dyDescent="0.35">
      <c r="A796" t="s">
        <v>93</v>
      </c>
      <c r="B796">
        <v>14593</v>
      </c>
      <c r="C796">
        <v>6.0722999999999999E-2</v>
      </c>
      <c r="D796" s="5">
        <v>4.3058153000000004E-6</v>
      </c>
      <c r="E796">
        <v>3.7957888000000002E-2</v>
      </c>
      <c r="F796">
        <v>3.6823000000000002E-2</v>
      </c>
      <c r="G796" t="s">
        <v>209</v>
      </c>
      <c r="I796">
        <f t="shared" si="43"/>
        <v>6.0718694184700002E-2</v>
      </c>
      <c r="J796">
        <f t="shared" si="44"/>
        <v>3.7953582184700005E-2</v>
      </c>
      <c r="K796">
        <f t="shared" si="45"/>
        <v>3.6818694184700004E-2</v>
      </c>
    </row>
    <row r="797" spans="1:11" x14ac:dyDescent="0.35">
      <c r="A797" t="s">
        <v>94</v>
      </c>
      <c r="B797">
        <v>14593</v>
      </c>
      <c r="C797">
        <v>3.3790000000000001E-2</v>
      </c>
      <c r="D797" s="5">
        <v>4.0280046999999999E-6</v>
      </c>
      <c r="E797">
        <v>8.7761291999999998E-3</v>
      </c>
      <c r="F797">
        <v>2.1113E-2</v>
      </c>
      <c r="G797" t="s">
        <v>209</v>
      </c>
      <c r="I797">
        <f t="shared" si="43"/>
        <v>3.37859719953E-2</v>
      </c>
      <c r="J797">
        <f t="shared" si="44"/>
        <v>8.7721011952999993E-3</v>
      </c>
      <c r="K797">
        <f t="shared" si="45"/>
        <v>2.1108971995299999E-2</v>
      </c>
    </row>
    <row r="798" spans="1:11" x14ac:dyDescent="0.35">
      <c r="A798" t="s">
        <v>95</v>
      </c>
      <c r="B798">
        <v>14593</v>
      </c>
      <c r="C798">
        <v>3.6670000000000001E-2</v>
      </c>
      <c r="D798" s="5">
        <v>4.7224784999999996E-6</v>
      </c>
      <c r="E798">
        <v>6.7283355000000003E-2</v>
      </c>
      <c r="F798">
        <v>2.4368999999999998E-2</v>
      </c>
      <c r="G798" t="s">
        <v>209</v>
      </c>
      <c r="I798">
        <f t="shared" si="43"/>
        <v>3.6665277521499999E-2</v>
      </c>
      <c r="J798">
        <f t="shared" si="44"/>
        <v>6.7278632521500001E-2</v>
      </c>
      <c r="K798">
        <f t="shared" si="45"/>
        <v>2.43642775215E-2</v>
      </c>
    </row>
    <row r="799" spans="1:11" x14ac:dyDescent="0.35">
      <c r="A799" t="s">
        <v>96</v>
      </c>
      <c r="B799">
        <v>14593</v>
      </c>
      <c r="C799">
        <v>5.1958999999999998E-2</v>
      </c>
      <c r="D799" s="5">
        <v>1.5278093000000001E-6</v>
      </c>
      <c r="E799">
        <v>1.9074834999999998E-2</v>
      </c>
      <c r="F799">
        <v>-6.3797999999999994E-2</v>
      </c>
      <c r="G799" t="s">
        <v>209</v>
      </c>
      <c r="I799">
        <f t="shared" si="43"/>
        <v>5.1957472190699995E-2</v>
      </c>
      <c r="J799">
        <f t="shared" si="44"/>
        <v>1.9073307190699999E-2</v>
      </c>
      <c r="K799">
        <f t="shared" si="45"/>
        <v>-6.3799527809299997E-2</v>
      </c>
    </row>
    <row r="800" spans="1:11" x14ac:dyDescent="0.35">
      <c r="A800" t="s">
        <v>97</v>
      </c>
      <c r="B800">
        <v>14593</v>
      </c>
      <c r="C800">
        <v>4.0934999999999999E-2</v>
      </c>
      <c r="D800" s="5">
        <v>4.1668749999999998E-6</v>
      </c>
      <c r="E800">
        <v>3.8132824000000003E-2</v>
      </c>
      <c r="F800">
        <v>5.9991000000000003E-2</v>
      </c>
      <c r="G800" t="s">
        <v>209</v>
      </c>
      <c r="I800">
        <f t="shared" si="43"/>
        <v>4.0930833124999996E-2</v>
      </c>
      <c r="J800">
        <f t="shared" si="44"/>
        <v>3.8128657125E-2</v>
      </c>
      <c r="K800">
        <f t="shared" si="45"/>
        <v>5.9986833125E-2</v>
      </c>
    </row>
    <row r="801" spans="1:11" x14ac:dyDescent="0.35">
      <c r="A801" t="s">
        <v>98</v>
      </c>
      <c r="B801">
        <v>14593</v>
      </c>
      <c r="C801">
        <v>-1.3313999999999999E-2</v>
      </c>
      <c r="D801" s="5">
        <v>3.7501688E-6</v>
      </c>
      <c r="E801">
        <v>3.4299082999999998E-3</v>
      </c>
      <c r="F801">
        <v>1.5973999999999999E-2</v>
      </c>
      <c r="G801" t="s">
        <v>209</v>
      </c>
      <c r="I801">
        <f t="shared" si="43"/>
        <v>-1.33177501688E-2</v>
      </c>
      <c r="J801">
        <f t="shared" si="44"/>
        <v>3.4261581312E-3</v>
      </c>
      <c r="K801">
        <f t="shared" si="45"/>
        <v>1.59702498312E-2</v>
      </c>
    </row>
    <row r="802" spans="1:11" x14ac:dyDescent="0.35">
      <c r="A802" t="s">
        <v>99</v>
      </c>
      <c r="B802">
        <v>14593</v>
      </c>
      <c r="C802">
        <v>4.6560000000000004E-3</v>
      </c>
      <c r="D802" s="5">
        <v>1.8056012E-6</v>
      </c>
      <c r="E802">
        <v>2.8691142999999999E-2</v>
      </c>
      <c r="F802">
        <v>8.9446999999999999E-2</v>
      </c>
      <c r="G802" t="s">
        <v>209</v>
      </c>
      <c r="I802">
        <f t="shared" si="43"/>
        <v>4.6541943988000004E-3</v>
      </c>
      <c r="J802">
        <f t="shared" si="44"/>
        <v>2.8689337398799999E-2</v>
      </c>
      <c r="K802">
        <f t="shared" si="45"/>
        <v>8.9445194398799999E-2</v>
      </c>
    </row>
    <row r="803" spans="1:11" x14ac:dyDescent="0.35">
      <c r="A803" t="s">
        <v>100</v>
      </c>
      <c r="B803">
        <v>14593</v>
      </c>
      <c r="C803">
        <v>-6.5690000000000002E-3</v>
      </c>
      <c r="D803" s="5">
        <v>8.3334270999999995E-7</v>
      </c>
      <c r="E803">
        <v>-1.4824624999999999E-2</v>
      </c>
      <c r="F803">
        <v>-1.7916999999999999E-2</v>
      </c>
      <c r="G803" t="s">
        <v>209</v>
      </c>
      <c r="I803">
        <f t="shared" si="43"/>
        <v>-6.5698333427099999E-3</v>
      </c>
      <c r="J803">
        <f t="shared" si="44"/>
        <v>-1.4825458342709999E-2</v>
      </c>
      <c r="K803">
        <f t="shared" si="45"/>
        <v>-1.791783334271E-2</v>
      </c>
    </row>
    <row r="804" spans="1:11" x14ac:dyDescent="0.35">
      <c r="A804" t="s">
        <v>101</v>
      </c>
      <c r="B804">
        <v>14593</v>
      </c>
      <c r="C804">
        <v>-3.4959999999999998E-2</v>
      </c>
      <c r="D804" s="5">
        <v>1.2500179E-6</v>
      </c>
      <c r="E804">
        <v>-1.8264328999999999E-2</v>
      </c>
      <c r="F804">
        <v>-2.4317999999999999E-2</v>
      </c>
      <c r="G804" t="s">
        <v>209</v>
      </c>
      <c r="I804">
        <f t="shared" si="43"/>
        <v>-3.49612500179E-2</v>
      </c>
      <c r="J804">
        <f t="shared" si="44"/>
        <v>-1.8265579017899998E-2</v>
      </c>
      <c r="K804">
        <f t="shared" si="45"/>
        <v>-2.4319250017899998E-2</v>
      </c>
    </row>
    <row r="805" spans="1:11" x14ac:dyDescent="0.35">
      <c r="A805" t="s">
        <v>102</v>
      </c>
      <c r="B805">
        <v>14593</v>
      </c>
      <c r="C805">
        <v>0.16328500000000001</v>
      </c>
      <c r="D805" s="5">
        <v>5.5555989E-7</v>
      </c>
      <c r="E805">
        <v>-2.2433277000000001E-2</v>
      </c>
      <c r="F805">
        <v>8.4170999999999996E-2</v>
      </c>
      <c r="G805" t="s">
        <v>209</v>
      </c>
      <c r="I805">
        <f t="shared" si="43"/>
        <v>0.16328444444011</v>
      </c>
      <c r="J805">
        <f t="shared" si="44"/>
        <v>-2.2433832559890003E-2</v>
      </c>
      <c r="K805">
        <f t="shared" si="45"/>
        <v>8.4170444440110001E-2</v>
      </c>
    </row>
    <row r="806" spans="1:11" x14ac:dyDescent="0.35">
      <c r="A806" t="s">
        <v>103</v>
      </c>
      <c r="B806">
        <v>14593</v>
      </c>
      <c r="C806">
        <v>-1.4468999999999999E-2</v>
      </c>
      <c r="D806" s="5">
        <v>5.0003378000000001E-6</v>
      </c>
      <c r="E806">
        <v>-5.7314354999999997E-2</v>
      </c>
      <c r="F806">
        <v>0.122749</v>
      </c>
      <c r="G806" t="s">
        <v>209</v>
      </c>
      <c r="I806">
        <f t="shared" si="43"/>
        <v>-1.4474000337799999E-2</v>
      </c>
      <c r="J806">
        <f t="shared" si="44"/>
        <v>-5.7319355337799999E-2</v>
      </c>
      <c r="K806">
        <f t="shared" si="45"/>
        <v>0.1227439996622</v>
      </c>
    </row>
    <row r="807" spans="1:11" x14ac:dyDescent="0.35">
      <c r="A807" t="s">
        <v>104</v>
      </c>
      <c r="B807">
        <v>14593</v>
      </c>
      <c r="C807">
        <v>-9.1210000000000006E-3</v>
      </c>
      <c r="D807" s="5">
        <v>4.1666856999999999E-7</v>
      </c>
      <c r="E807">
        <v>-8.4963291999999996E-2</v>
      </c>
      <c r="F807">
        <v>-0.110623</v>
      </c>
      <c r="G807" t="s">
        <v>209</v>
      </c>
      <c r="I807">
        <f t="shared" si="43"/>
        <v>-9.12141666857E-3</v>
      </c>
      <c r="J807">
        <f t="shared" si="44"/>
        <v>-8.496370866856999E-2</v>
      </c>
      <c r="K807">
        <f t="shared" si="45"/>
        <v>-0.11062341666856999</v>
      </c>
    </row>
    <row r="808" spans="1:11" x14ac:dyDescent="0.35">
      <c r="A808" t="s">
        <v>105</v>
      </c>
      <c r="B808">
        <v>14593</v>
      </c>
      <c r="C808">
        <v>6.1523000000000001E-2</v>
      </c>
      <c r="D808" s="5">
        <v>5.5555972000000002E-7</v>
      </c>
      <c r="E808">
        <v>7.7098571000000005E-2</v>
      </c>
      <c r="F808">
        <v>5.8712E-2</v>
      </c>
      <c r="G808" t="s">
        <v>209</v>
      </c>
      <c r="I808">
        <f t="shared" si="43"/>
        <v>6.1522444440280002E-2</v>
      </c>
      <c r="J808">
        <f t="shared" si="44"/>
        <v>7.7098015440279999E-2</v>
      </c>
      <c r="K808">
        <f t="shared" si="45"/>
        <v>5.8711444440280001E-2</v>
      </c>
    </row>
    <row r="809" spans="1:11" x14ac:dyDescent="0.35">
      <c r="A809" t="s">
        <v>106</v>
      </c>
      <c r="B809">
        <v>14593</v>
      </c>
      <c r="C809">
        <v>-5.5782999999999999E-2</v>
      </c>
      <c r="D809" s="5">
        <v>6.9445048000000002E-7</v>
      </c>
      <c r="E809">
        <v>-2.5843721E-2</v>
      </c>
      <c r="F809">
        <v>1.6673E-2</v>
      </c>
      <c r="G809" t="s">
        <v>209</v>
      </c>
      <c r="I809">
        <f t="shared" si="43"/>
        <v>-5.5783694450480002E-2</v>
      </c>
      <c r="J809">
        <f t="shared" si="44"/>
        <v>-2.584441545048E-2</v>
      </c>
      <c r="K809">
        <f t="shared" si="45"/>
        <v>1.6672305549520001E-2</v>
      </c>
    </row>
    <row r="810" spans="1:11" x14ac:dyDescent="0.35">
      <c r="A810" t="s">
        <v>107</v>
      </c>
      <c r="B810">
        <v>14593</v>
      </c>
      <c r="C810">
        <v>5.9655E-2</v>
      </c>
      <c r="D810" s="5">
        <v>1.6666698E-7</v>
      </c>
      <c r="E810">
        <v>3.7129038999999999E-3</v>
      </c>
      <c r="F810">
        <v>-0.106624</v>
      </c>
      <c r="G810" t="s">
        <v>209</v>
      </c>
      <c r="I810">
        <f t="shared" si="43"/>
        <v>5.9654833333019998E-2</v>
      </c>
      <c r="J810">
        <f t="shared" si="44"/>
        <v>3.7127372330199998E-3</v>
      </c>
      <c r="K810">
        <f t="shared" si="45"/>
        <v>-0.10662416666697999</v>
      </c>
    </row>
    <row r="811" spans="1:11" x14ac:dyDescent="0.35">
      <c r="A811" t="s">
        <v>108</v>
      </c>
      <c r="B811">
        <v>14593</v>
      </c>
      <c r="C811">
        <v>0.127111</v>
      </c>
      <c r="D811" s="5">
        <v>4.1666901999999998E-7</v>
      </c>
      <c r="E811">
        <v>5.4102684999999998E-2</v>
      </c>
      <c r="F811">
        <v>0.113955</v>
      </c>
      <c r="G811" t="s">
        <v>209</v>
      </c>
      <c r="I811">
        <f t="shared" si="43"/>
        <v>0.12711058333097999</v>
      </c>
      <c r="J811">
        <f t="shared" si="44"/>
        <v>5.4102268330979995E-2</v>
      </c>
      <c r="K811">
        <f t="shared" si="45"/>
        <v>0.11395458333098001</v>
      </c>
    </row>
    <row r="812" spans="1:11" x14ac:dyDescent="0.35">
      <c r="A812" t="s">
        <v>109</v>
      </c>
      <c r="B812">
        <v>14593</v>
      </c>
      <c r="C812">
        <v>0.18831100000000001</v>
      </c>
      <c r="D812" s="5">
        <v>1.6666986000000001E-6</v>
      </c>
      <c r="E812">
        <v>4.1180659000000001E-2</v>
      </c>
      <c r="F812">
        <v>-2.9673000000000001E-2</v>
      </c>
      <c r="G812" t="s">
        <v>209</v>
      </c>
      <c r="I812">
        <f t="shared" si="43"/>
        <v>0.18830933330140001</v>
      </c>
      <c r="J812">
        <f t="shared" si="44"/>
        <v>4.11789923014E-2</v>
      </c>
      <c r="K812">
        <f t="shared" si="45"/>
        <v>-2.9674666698600003E-2</v>
      </c>
    </row>
    <row r="813" spans="1:11" x14ac:dyDescent="0.35">
      <c r="A813" t="s">
        <v>110</v>
      </c>
      <c r="B813">
        <v>14593</v>
      </c>
      <c r="C813">
        <v>0.105284</v>
      </c>
      <c r="D813" s="5">
        <v>1.1111247000000001E-6</v>
      </c>
      <c r="E813">
        <v>2.4026984000000001E-2</v>
      </c>
      <c r="F813">
        <v>-1.3184E-2</v>
      </c>
      <c r="G813" t="s">
        <v>209</v>
      </c>
      <c r="I813">
        <f t="shared" si="43"/>
        <v>0.1052828888753</v>
      </c>
      <c r="J813">
        <f t="shared" si="44"/>
        <v>2.4025872875300003E-2</v>
      </c>
      <c r="K813">
        <f t="shared" si="45"/>
        <v>-1.31851111247E-2</v>
      </c>
    </row>
    <row r="814" spans="1:11" x14ac:dyDescent="0.35">
      <c r="A814" t="s">
        <v>111</v>
      </c>
      <c r="B814">
        <v>14593</v>
      </c>
      <c r="C814">
        <v>-2.5968999999999999E-2</v>
      </c>
      <c r="D814" s="5">
        <v>9.722349400000001E-7</v>
      </c>
      <c r="E814">
        <v>-6.8070008E-3</v>
      </c>
      <c r="F814">
        <v>-1.48E-3</v>
      </c>
      <c r="G814" t="s">
        <v>209</v>
      </c>
      <c r="I814">
        <f t="shared" si="43"/>
        <v>-2.5969972234939999E-2</v>
      </c>
      <c r="J814">
        <f t="shared" si="44"/>
        <v>-6.8079730349399998E-3</v>
      </c>
      <c r="K814">
        <f t="shared" si="45"/>
        <v>-1.4809722349400001E-3</v>
      </c>
    </row>
    <row r="815" spans="1:11" x14ac:dyDescent="0.35">
      <c r="A815" t="s">
        <v>112</v>
      </c>
      <c r="B815">
        <v>14593</v>
      </c>
      <c r="C815">
        <v>-1.0702E-2</v>
      </c>
      <c r="D815" s="5">
        <v>1.8055947E-6</v>
      </c>
      <c r="E815">
        <v>-6.5889180000000006E-2</v>
      </c>
      <c r="F815">
        <v>-6.3380000000000006E-2</v>
      </c>
      <c r="G815" t="s">
        <v>209</v>
      </c>
      <c r="I815">
        <f t="shared" si="43"/>
        <v>-1.07038055947E-2</v>
      </c>
      <c r="J815">
        <f t="shared" si="44"/>
        <v>-6.5890985594700011E-2</v>
      </c>
      <c r="K815">
        <f t="shared" si="45"/>
        <v>-6.3381805594700011E-2</v>
      </c>
    </row>
    <row r="816" spans="1:11" x14ac:dyDescent="0.35">
      <c r="A816" t="s">
        <v>113</v>
      </c>
      <c r="B816">
        <v>14593</v>
      </c>
      <c r="C816">
        <v>1.0853E-2</v>
      </c>
      <c r="D816" s="5">
        <v>8.3334305000000002E-7</v>
      </c>
      <c r="E816">
        <v>3.8209856E-2</v>
      </c>
      <c r="F816">
        <v>2.3546000000000001E-2</v>
      </c>
      <c r="G816" t="s">
        <v>209</v>
      </c>
      <c r="I816">
        <f t="shared" si="43"/>
        <v>1.085216665695E-2</v>
      </c>
      <c r="J816">
        <f t="shared" si="44"/>
        <v>3.8209022656950004E-2</v>
      </c>
      <c r="K816">
        <f t="shared" si="45"/>
        <v>2.3545166656950001E-2</v>
      </c>
    </row>
    <row r="817" spans="1:11" x14ac:dyDescent="0.35">
      <c r="A817" t="s">
        <v>114</v>
      </c>
      <c r="B817">
        <v>14593</v>
      </c>
      <c r="C817">
        <v>4.5822000000000002E-2</v>
      </c>
      <c r="D817" s="5">
        <v>9.722349400000001E-7</v>
      </c>
      <c r="E817">
        <v>1.0293739999999999E-2</v>
      </c>
      <c r="F817">
        <v>8.3770000000000008E-3</v>
      </c>
      <c r="G817" t="s">
        <v>209</v>
      </c>
      <c r="I817">
        <f t="shared" si="43"/>
        <v>4.5821027765060002E-2</v>
      </c>
      <c r="J817">
        <f t="shared" si="44"/>
        <v>1.0292767765059999E-2</v>
      </c>
      <c r="K817">
        <f t="shared" si="45"/>
        <v>8.3760277650600009E-3</v>
      </c>
    </row>
    <row r="818" spans="1:11" x14ac:dyDescent="0.35">
      <c r="A818" t="s">
        <v>115</v>
      </c>
      <c r="B818">
        <v>14593</v>
      </c>
      <c r="C818">
        <v>9.3538999999999997E-2</v>
      </c>
      <c r="D818" s="5">
        <v>1.3889111E-6</v>
      </c>
      <c r="E818">
        <v>2.6292300000000001E-2</v>
      </c>
      <c r="F818">
        <v>4.9396000000000002E-2</v>
      </c>
      <c r="G818" t="s">
        <v>209</v>
      </c>
      <c r="I818">
        <f t="shared" si="43"/>
        <v>9.3537611088899991E-2</v>
      </c>
      <c r="J818">
        <f t="shared" si="44"/>
        <v>2.6290911088900002E-2</v>
      </c>
      <c r="K818">
        <f t="shared" si="45"/>
        <v>4.9394611088900003E-2</v>
      </c>
    </row>
    <row r="819" spans="1:11" x14ac:dyDescent="0.35">
      <c r="A819" t="s">
        <v>116</v>
      </c>
      <c r="B819">
        <v>14593</v>
      </c>
      <c r="C819">
        <v>2.8029999999999999E-3</v>
      </c>
      <c r="D819" s="5">
        <v>2.3611862999999998E-6</v>
      </c>
      <c r="E819">
        <v>2.6509768999999999E-2</v>
      </c>
      <c r="F819">
        <v>4.6705999999999998E-2</v>
      </c>
      <c r="G819" t="s">
        <v>209</v>
      </c>
      <c r="I819">
        <f t="shared" si="43"/>
        <v>2.8006388137E-3</v>
      </c>
      <c r="J819">
        <f t="shared" si="44"/>
        <v>2.65074078137E-2</v>
      </c>
      <c r="K819">
        <f t="shared" si="45"/>
        <v>4.6703638813699995E-2</v>
      </c>
    </row>
    <row r="820" spans="1:11" x14ac:dyDescent="0.35">
      <c r="A820" t="s">
        <v>117</v>
      </c>
      <c r="B820">
        <v>14593</v>
      </c>
      <c r="C820">
        <v>-0.10760699999999999</v>
      </c>
      <c r="D820" s="5">
        <v>1.5278093000000001E-6</v>
      </c>
      <c r="E820">
        <v>-1.0423534999999999E-2</v>
      </c>
      <c r="F820">
        <v>-2.9437000000000001E-2</v>
      </c>
      <c r="G820" t="s">
        <v>209</v>
      </c>
      <c r="I820">
        <f t="shared" si="43"/>
        <v>-0.1076085278093</v>
      </c>
      <c r="J820">
        <f t="shared" si="44"/>
        <v>-1.0425062809299999E-2</v>
      </c>
      <c r="K820">
        <f t="shared" si="45"/>
        <v>-2.9438527809300001E-2</v>
      </c>
    </row>
    <row r="821" spans="1:11" x14ac:dyDescent="0.35">
      <c r="A821" t="s">
        <v>118</v>
      </c>
      <c r="B821">
        <v>14593</v>
      </c>
      <c r="C821">
        <v>-1.2413E-2</v>
      </c>
      <c r="D821" s="5">
        <v>2.7778665000000001E-6</v>
      </c>
      <c r="E821">
        <v>6.5123695000000002E-3</v>
      </c>
      <c r="F821">
        <v>-4.6750000000000003E-3</v>
      </c>
      <c r="G821" t="s">
        <v>209</v>
      </c>
      <c r="I821">
        <f t="shared" si="43"/>
        <v>-1.24157778665E-2</v>
      </c>
      <c r="J821">
        <f t="shared" si="44"/>
        <v>6.5095916335000002E-3</v>
      </c>
      <c r="K821">
        <f t="shared" si="45"/>
        <v>-4.6777778665000004E-3</v>
      </c>
    </row>
    <row r="822" spans="1:11" x14ac:dyDescent="0.35">
      <c r="A822" t="s">
        <v>119</v>
      </c>
      <c r="B822">
        <v>14593</v>
      </c>
      <c r="C822">
        <v>-9.0737999999999999E-2</v>
      </c>
      <c r="D822" s="5">
        <v>3.1945822000000001E-6</v>
      </c>
      <c r="E822">
        <v>1.2589275E-2</v>
      </c>
      <c r="F822">
        <v>-2.4267E-2</v>
      </c>
      <c r="G822" t="s">
        <v>209</v>
      </c>
      <c r="I822">
        <f t="shared" si="43"/>
        <v>-9.0741194582199994E-2</v>
      </c>
      <c r="J822">
        <f t="shared" si="44"/>
        <v>1.2586080417800001E-2</v>
      </c>
      <c r="K822">
        <f t="shared" si="45"/>
        <v>-2.4270194582200002E-2</v>
      </c>
    </row>
    <row r="823" spans="1:11" x14ac:dyDescent="0.35">
      <c r="A823" t="s">
        <v>120</v>
      </c>
      <c r="B823">
        <v>14593</v>
      </c>
      <c r="C823">
        <v>-0.144094</v>
      </c>
      <c r="D823" s="5">
        <v>5.5555926999999998E-7</v>
      </c>
      <c r="E823">
        <v>5.4154015999999999E-2</v>
      </c>
      <c r="F823">
        <v>-5.0639999999999999E-3</v>
      </c>
      <c r="G823" t="s">
        <v>209</v>
      </c>
      <c r="I823">
        <f t="shared" si="43"/>
        <v>-0.14409455555927</v>
      </c>
      <c r="J823">
        <f t="shared" si="44"/>
        <v>5.4153460440730002E-2</v>
      </c>
      <c r="K823">
        <f t="shared" si="45"/>
        <v>-5.0645555592700002E-3</v>
      </c>
    </row>
    <row r="824" spans="1:11" x14ac:dyDescent="0.35">
      <c r="A824" t="s">
        <v>121</v>
      </c>
      <c r="B824">
        <v>14593</v>
      </c>
      <c r="C824">
        <v>-2.5115999999999999E-2</v>
      </c>
      <c r="D824" s="5">
        <v>1.1111283999999999E-6</v>
      </c>
      <c r="E824">
        <v>8.3725397000000007E-3</v>
      </c>
      <c r="F824">
        <v>-5.0867999999999997E-2</v>
      </c>
      <c r="G824" t="s">
        <v>209</v>
      </c>
      <c r="I824">
        <f t="shared" si="43"/>
        <v>-2.51171111284E-2</v>
      </c>
      <c r="J824">
        <f t="shared" si="44"/>
        <v>8.3714285716000002E-3</v>
      </c>
      <c r="K824">
        <f t="shared" si="45"/>
        <v>-5.0869111128399994E-2</v>
      </c>
    </row>
    <row r="825" spans="1:11" x14ac:dyDescent="0.35">
      <c r="A825" t="s">
        <v>122</v>
      </c>
      <c r="B825">
        <v>14593</v>
      </c>
      <c r="C825">
        <v>2.8549999999999999E-3</v>
      </c>
      <c r="D825" s="5">
        <v>2.3611892000000002E-6</v>
      </c>
      <c r="E825">
        <v>3.5316341000000001E-2</v>
      </c>
      <c r="F825">
        <v>9.6080000000000002E-3</v>
      </c>
      <c r="G825" t="s">
        <v>209</v>
      </c>
      <c r="I825">
        <f t="shared" si="43"/>
        <v>2.8526388107999998E-3</v>
      </c>
      <c r="J825">
        <f t="shared" si="44"/>
        <v>3.5313979810799999E-2</v>
      </c>
      <c r="K825">
        <f t="shared" si="45"/>
        <v>9.6056388107999997E-3</v>
      </c>
    </row>
    <row r="826" spans="1:11" x14ac:dyDescent="0.35">
      <c r="A826" t="s">
        <v>123</v>
      </c>
      <c r="B826">
        <v>14593</v>
      </c>
      <c r="C826">
        <v>2.7099999999999997E-4</v>
      </c>
      <c r="D826" s="5">
        <v>9.7223551000000005E-7</v>
      </c>
      <c r="E826">
        <v>1.4946403E-2</v>
      </c>
      <c r="F826">
        <v>-7.5743000000000005E-2</v>
      </c>
      <c r="G826" t="s">
        <v>209</v>
      </c>
      <c r="I826">
        <f t="shared" si="43"/>
        <v>2.7002776449E-4</v>
      </c>
      <c r="J826">
        <f t="shared" si="44"/>
        <v>1.494543076449E-2</v>
      </c>
      <c r="K826">
        <f t="shared" si="45"/>
        <v>-7.5743972235510007E-2</v>
      </c>
    </row>
    <row r="827" spans="1:11" x14ac:dyDescent="0.35">
      <c r="A827" t="s">
        <v>124</v>
      </c>
      <c r="B827">
        <v>14593</v>
      </c>
      <c r="C827">
        <v>2.2596000000000002E-2</v>
      </c>
      <c r="D827" s="5">
        <v>9.7223312000000006E-7</v>
      </c>
      <c r="E827">
        <v>1.9178807999999999E-2</v>
      </c>
      <c r="F827">
        <v>-6.1988000000000001E-2</v>
      </c>
      <c r="G827" t="s">
        <v>209</v>
      </c>
      <c r="I827">
        <f t="shared" si="43"/>
        <v>2.2595027766880001E-2</v>
      </c>
      <c r="J827">
        <f t="shared" si="44"/>
        <v>1.9177835766879998E-2</v>
      </c>
      <c r="K827">
        <f t="shared" si="45"/>
        <v>-6.1988972233119999E-2</v>
      </c>
    </row>
    <row r="828" spans="1:11" x14ac:dyDescent="0.35">
      <c r="A828" t="s">
        <v>125</v>
      </c>
      <c r="B828">
        <v>14593</v>
      </c>
      <c r="C828">
        <v>-0.11830300000000001</v>
      </c>
      <c r="D828" s="5">
        <v>5.5555972000000002E-7</v>
      </c>
      <c r="E828">
        <v>-1.5042944000000001E-2</v>
      </c>
      <c r="F828">
        <v>-0.11058800000000001</v>
      </c>
      <c r="G828" t="s">
        <v>209</v>
      </c>
      <c r="I828">
        <f t="shared" ref="I828:I891" si="46">C828-D828</f>
        <v>-0.11830355555972001</v>
      </c>
      <c r="J828">
        <f t="shared" ref="J828:J891" si="47">E828-D828</f>
        <v>-1.5043499559720001E-2</v>
      </c>
      <c r="K828">
        <f t="shared" ref="K828:K891" si="48">F828-D828</f>
        <v>-0.11058855555972001</v>
      </c>
    </row>
    <row r="829" spans="1:11" x14ac:dyDescent="0.35">
      <c r="A829" t="s">
        <v>126</v>
      </c>
      <c r="B829">
        <v>14593</v>
      </c>
      <c r="C829">
        <v>0.14122499999999999</v>
      </c>
      <c r="D829" s="5">
        <v>1.3888915000000001E-7</v>
      </c>
      <c r="E829">
        <v>5.2630160000000002E-2</v>
      </c>
      <c r="F829">
        <v>7.4301000000000006E-2</v>
      </c>
      <c r="G829" t="s">
        <v>209</v>
      </c>
      <c r="I829">
        <f t="shared" si="46"/>
        <v>0.14122486111085</v>
      </c>
      <c r="J829">
        <f t="shared" si="47"/>
        <v>5.2630021110850002E-2</v>
      </c>
      <c r="K829">
        <f t="shared" si="48"/>
        <v>7.4300861110850006E-2</v>
      </c>
    </row>
    <row r="830" spans="1:11" x14ac:dyDescent="0.35">
      <c r="A830" t="s">
        <v>127</v>
      </c>
      <c r="B830">
        <v>14593</v>
      </c>
      <c r="C830">
        <v>8.3389000000000005E-2</v>
      </c>
      <c r="D830" s="5">
        <v>2.7777863999999998E-7</v>
      </c>
      <c r="E830">
        <v>-2.5734027999999999E-2</v>
      </c>
      <c r="F830">
        <v>5.2047000000000003E-2</v>
      </c>
      <c r="G830" t="s">
        <v>209</v>
      </c>
      <c r="I830">
        <f t="shared" si="46"/>
        <v>8.3388722221359998E-2</v>
      </c>
      <c r="J830">
        <f t="shared" si="47"/>
        <v>-2.5734305778639999E-2</v>
      </c>
      <c r="K830">
        <f t="shared" si="48"/>
        <v>5.2046722221360003E-2</v>
      </c>
    </row>
    <row r="831" spans="1:11" x14ac:dyDescent="0.35">
      <c r="A831" t="s">
        <v>128</v>
      </c>
      <c r="B831">
        <v>14593</v>
      </c>
      <c r="C831">
        <v>-2.1481E-2</v>
      </c>
      <c r="D831" s="5">
        <v>6.9445092999999996E-7</v>
      </c>
      <c r="E831">
        <v>3.7508949999999999E-2</v>
      </c>
      <c r="F831">
        <v>-4.7837999999999999E-2</v>
      </c>
      <c r="G831" t="s">
        <v>209</v>
      </c>
      <c r="I831">
        <f t="shared" si="46"/>
        <v>-2.1481694450930001E-2</v>
      </c>
      <c r="J831">
        <f t="shared" si="47"/>
        <v>3.7508255549070002E-2</v>
      </c>
      <c r="K831">
        <f t="shared" si="48"/>
        <v>-4.7838694450929996E-2</v>
      </c>
    </row>
    <row r="832" spans="1:11" x14ac:dyDescent="0.35">
      <c r="A832" t="s">
        <v>129</v>
      </c>
      <c r="B832">
        <v>14593</v>
      </c>
      <c r="C832">
        <v>9.6385999999999999E-2</v>
      </c>
      <c r="D832" s="5">
        <v>6.9445025000000003E-7</v>
      </c>
      <c r="E832">
        <v>3.5732113000000003E-2</v>
      </c>
      <c r="F832">
        <v>-3.4329999999999999E-3</v>
      </c>
      <c r="G832" t="s">
        <v>209</v>
      </c>
      <c r="I832">
        <f t="shared" si="46"/>
        <v>9.638530554975E-2</v>
      </c>
      <c r="J832">
        <f t="shared" si="47"/>
        <v>3.5731418549750003E-2</v>
      </c>
      <c r="K832">
        <f t="shared" si="48"/>
        <v>-3.4336944502499998E-3</v>
      </c>
    </row>
    <row r="833" spans="1:11" x14ac:dyDescent="0.35">
      <c r="A833" t="s">
        <v>130</v>
      </c>
      <c r="B833">
        <v>14593</v>
      </c>
      <c r="C833">
        <v>6.9672999999999999E-2</v>
      </c>
      <c r="D833" s="5">
        <v>9.7223597000000002E-7</v>
      </c>
      <c r="E833">
        <v>2.3912761000000001E-2</v>
      </c>
      <c r="F833">
        <v>-5.5112000000000001E-2</v>
      </c>
      <c r="G833" t="s">
        <v>209</v>
      </c>
      <c r="I833">
        <f t="shared" si="46"/>
        <v>6.9672027764030003E-2</v>
      </c>
      <c r="J833">
        <f t="shared" si="47"/>
        <v>2.3911788764030002E-2</v>
      </c>
      <c r="K833">
        <f t="shared" si="48"/>
        <v>-5.5112972235970004E-2</v>
      </c>
    </row>
    <row r="834" spans="1:11" x14ac:dyDescent="0.35">
      <c r="A834" t="s">
        <v>131</v>
      </c>
      <c r="B834">
        <v>14593</v>
      </c>
      <c r="C834">
        <v>8.9020000000000002E-3</v>
      </c>
      <c r="D834" s="5">
        <v>1.5278093000000001E-6</v>
      </c>
      <c r="E834">
        <v>2.6196547000000001E-2</v>
      </c>
      <c r="F834">
        <v>-3.7945E-2</v>
      </c>
      <c r="G834" t="s">
        <v>209</v>
      </c>
      <c r="I834">
        <f t="shared" si="46"/>
        <v>8.9004721907000005E-3</v>
      </c>
      <c r="J834">
        <f t="shared" si="47"/>
        <v>2.6195019190700001E-2</v>
      </c>
      <c r="K834">
        <f t="shared" si="48"/>
        <v>-3.7946527809300003E-2</v>
      </c>
    </row>
    <row r="835" spans="1:11" x14ac:dyDescent="0.35">
      <c r="A835" t="s">
        <v>132</v>
      </c>
      <c r="B835">
        <v>14593</v>
      </c>
      <c r="C835">
        <v>-0.107697</v>
      </c>
      <c r="D835" s="5">
        <v>4.1666865999999999E-7</v>
      </c>
      <c r="E835">
        <v>-2.9955011E-2</v>
      </c>
      <c r="F835">
        <v>3.4188999999999997E-2</v>
      </c>
      <c r="G835" t="s">
        <v>209</v>
      </c>
      <c r="I835">
        <f t="shared" si="46"/>
        <v>-0.10769741666866001</v>
      </c>
      <c r="J835">
        <f t="shared" si="47"/>
        <v>-2.9955427668659999E-2</v>
      </c>
      <c r="K835">
        <f t="shared" si="48"/>
        <v>3.4188583331339999E-2</v>
      </c>
    </row>
    <row r="836" spans="1:11" x14ac:dyDescent="0.35">
      <c r="A836" t="s">
        <v>133</v>
      </c>
      <c r="B836">
        <v>14593</v>
      </c>
      <c r="C836">
        <v>5.7311000000000001E-2</v>
      </c>
      <c r="D836" s="5">
        <v>8.3334270999999995E-7</v>
      </c>
      <c r="E836">
        <v>4.6289820000000002E-2</v>
      </c>
      <c r="F836">
        <v>6.2702999999999995E-2</v>
      </c>
      <c r="G836" t="s">
        <v>209</v>
      </c>
      <c r="I836">
        <f t="shared" si="46"/>
        <v>5.7310166657290003E-2</v>
      </c>
      <c r="J836">
        <f t="shared" si="47"/>
        <v>4.6288986657290004E-2</v>
      </c>
      <c r="K836">
        <f t="shared" si="48"/>
        <v>6.270216665728999E-2</v>
      </c>
    </row>
    <row r="837" spans="1:11" x14ac:dyDescent="0.35">
      <c r="A837" t="s">
        <v>134</v>
      </c>
      <c r="B837">
        <v>14593</v>
      </c>
      <c r="C837">
        <v>1.9952999999999999E-2</v>
      </c>
      <c r="D837" s="5">
        <v>1.2500211E-6</v>
      </c>
      <c r="E837">
        <v>4.4357283000000004E-3</v>
      </c>
      <c r="F837">
        <v>-3.1420999999999998E-2</v>
      </c>
      <c r="G837" t="s">
        <v>209</v>
      </c>
      <c r="I837">
        <f t="shared" si="46"/>
        <v>1.9951749978899997E-2</v>
      </c>
      <c r="J837">
        <f t="shared" si="47"/>
        <v>4.4344782789000007E-3</v>
      </c>
      <c r="K837">
        <f t="shared" si="48"/>
        <v>-3.1422250021099996E-2</v>
      </c>
    </row>
    <row r="838" spans="1:11" x14ac:dyDescent="0.35">
      <c r="A838" t="s">
        <v>135</v>
      </c>
      <c r="B838">
        <v>14593</v>
      </c>
      <c r="C838">
        <v>9.9395999999999998E-2</v>
      </c>
      <c r="D838" s="5">
        <v>8.3334168999999996E-7</v>
      </c>
      <c r="E838">
        <v>1.4230842999999999E-3</v>
      </c>
      <c r="F838">
        <v>4.9350000000000002E-3</v>
      </c>
      <c r="G838" t="s">
        <v>209</v>
      </c>
      <c r="I838">
        <f t="shared" si="46"/>
        <v>9.9395166658309997E-2</v>
      </c>
      <c r="J838">
        <f t="shared" si="47"/>
        <v>1.4222509583099998E-3</v>
      </c>
      <c r="K838">
        <f t="shared" si="48"/>
        <v>4.9341666583100005E-3</v>
      </c>
    </row>
    <row r="839" spans="1:11" x14ac:dyDescent="0.35">
      <c r="A839" t="s">
        <v>136</v>
      </c>
      <c r="B839">
        <v>14593</v>
      </c>
      <c r="C839">
        <v>7.8293000000000001E-2</v>
      </c>
      <c r="D839" s="5">
        <v>5.5555893000000002E-7</v>
      </c>
      <c r="E839">
        <v>2.0251281999999999E-2</v>
      </c>
      <c r="F839">
        <v>-3.0509999999999999E-2</v>
      </c>
      <c r="G839" t="s">
        <v>209</v>
      </c>
      <c r="I839">
        <f t="shared" si="46"/>
        <v>7.8292444441070003E-2</v>
      </c>
      <c r="J839">
        <f t="shared" si="47"/>
        <v>2.025072644107E-2</v>
      </c>
      <c r="K839">
        <f t="shared" si="48"/>
        <v>-3.0510555558929998E-2</v>
      </c>
    </row>
    <row r="840" spans="1:11" x14ac:dyDescent="0.35">
      <c r="A840" t="s">
        <v>137</v>
      </c>
      <c r="B840">
        <v>14593</v>
      </c>
      <c r="C840">
        <v>2.7661999999999999E-2</v>
      </c>
      <c r="D840" s="5">
        <v>1.1111276999999999E-6</v>
      </c>
      <c r="E840">
        <v>2.8027399000000001E-2</v>
      </c>
      <c r="F840">
        <v>6.3189999999999996E-2</v>
      </c>
      <c r="G840" t="s">
        <v>209</v>
      </c>
      <c r="I840">
        <f t="shared" si="46"/>
        <v>2.7660888872299998E-2</v>
      </c>
      <c r="J840">
        <f t="shared" si="47"/>
        <v>2.80262878723E-2</v>
      </c>
      <c r="K840">
        <f t="shared" si="48"/>
        <v>6.3188888872299995E-2</v>
      </c>
    </row>
    <row r="841" spans="1:11" x14ac:dyDescent="0.35">
      <c r="A841" t="s">
        <v>138</v>
      </c>
      <c r="B841">
        <v>14593</v>
      </c>
      <c r="C841">
        <v>2.8731E-2</v>
      </c>
      <c r="D841" s="5">
        <v>4.1666874000000002E-7</v>
      </c>
      <c r="E841">
        <v>-2.0529615000000001E-2</v>
      </c>
      <c r="F841">
        <v>-3.6317000000000002E-2</v>
      </c>
      <c r="G841" t="s">
        <v>209</v>
      </c>
      <c r="I841">
        <f t="shared" si="46"/>
        <v>2.8730583331259999E-2</v>
      </c>
      <c r="J841">
        <f t="shared" si="47"/>
        <v>-2.0530031668740002E-2</v>
      </c>
      <c r="K841">
        <f t="shared" si="48"/>
        <v>-3.6317416668739999E-2</v>
      </c>
    </row>
    <row r="842" spans="1:11" x14ac:dyDescent="0.35">
      <c r="A842" t="s">
        <v>139</v>
      </c>
      <c r="B842">
        <v>14593</v>
      </c>
      <c r="C842">
        <v>7.7091999999999994E-2</v>
      </c>
      <c r="D842" s="5">
        <v>2.0833394000000001E-7</v>
      </c>
      <c r="E842">
        <v>4.0290773000000002E-2</v>
      </c>
      <c r="F842">
        <v>3.8089999999999999E-3</v>
      </c>
      <c r="G842" t="s">
        <v>209</v>
      </c>
      <c r="I842">
        <f t="shared" si="46"/>
        <v>7.7091791666059992E-2</v>
      </c>
      <c r="J842">
        <f t="shared" si="47"/>
        <v>4.029056466606E-2</v>
      </c>
      <c r="K842">
        <f t="shared" si="48"/>
        <v>3.8087916660599999E-3</v>
      </c>
    </row>
    <row r="843" spans="1:11" x14ac:dyDescent="0.35">
      <c r="A843" t="s">
        <v>140</v>
      </c>
      <c r="B843">
        <v>14593</v>
      </c>
      <c r="C843">
        <v>-1.7073000000000001E-2</v>
      </c>
      <c r="D843" s="5">
        <v>5.5555972000000002E-7</v>
      </c>
      <c r="E843">
        <v>-2.5125346999999999E-2</v>
      </c>
      <c r="F843">
        <v>-6.1762999999999998E-2</v>
      </c>
      <c r="G843" t="s">
        <v>209</v>
      </c>
      <c r="I843">
        <f t="shared" si="46"/>
        <v>-1.707355555972E-2</v>
      </c>
      <c r="J843">
        <f t="shared" si="47"/>
        <v>-2.5125902559719998E-2</v>
      </c>
      <c r="K843">
        <f t="shared" si="48"/>
        <v>-6.1763555559719997E-2</v>
      </c>
    </row>
    <row r="844" spans="1:11" x14ac:dyDescent="0.35">
      <c r="A844" t="s">
        <v>141</v>
      </c>
      <c r="B844">
        <v>14593</v>
      </c>
      <c r="C844">
        <v>7.1959999999999996E-2</v>
      </c>
      <c r="D844" s="5">
        <v>4.1666865999999999E-7</v>
      </c>
      <c r="E844">
        <v>3.7308317000000001E-2</v>
      </c>
      <c r="F844">
        <v>-3.0547999999999999E-2</v>
      </c>
      <c r="G844" t="s">
        <v>209</v>
      </c>
      <c r="I844">
        <f t="shared" si="46"/>
        <v>7.1959583331339991E-2</v>
      </c>
      <c r="J844">
        <f t="shared" si="47"/>
        <v>3.7307900331340002E-2</v>
      </c>
      <c r="K844">
        <f t="shared" si="48"/>
        <v>-3.0548416668659997E-2</v>
      </c>
    </row>
    <row r="845" spans="1:11" x14ac:dyDescent="0.35">
      <c r="A845" t="s">
        <v>142</v>
      </c>
      <c r="B845">
        <v>14593</v>
      </c>
      <c r="C845">
        <v>0.105556</v>
      </c>
      <c r="D845" s="5">
        <v>2.7777887000000002E-7</v>
      </c>
      <c r="E845">
        <v>2.0212193999999999E-2</v>
      </c>
      <c r="F845">
        <v>-4.8820000000000001E-3</v>
      </c>
      <c r="G845" t="s">
        <v>209</v>
      </c>
      <c r="I845">
        <f t="shared" si="46"/>
        <v>0.10555572222112999</v>
      </c>
      <c r="J845">
        <f t="shared" si="47"/>
        <v>2.021191622113E-2</v>
      </c>
      <c r="K845">
        <f t="shared" si="48"/>
        <v>-4.8822777788699997E-3</v>
      </c>
    </row>
    <row r="846" spans="1:11" x14ac:dyDescent="0.35">
      <c r="A846" t="s">
        <v>143</v>
      </c>
      <c r="B846">
        <v>14593</v>
      </c>
      <c r="C846">
        <v>-7.1890999999999997E-2</v>
      </c>
      <c r="D846" s="5">
        <v>1.1111283999999999E-6</v>
      </c>
      <c r="E846">
        <v>-3.5814726999999998E-3</v>
      </c>
      <c r="F846">
        <v>1.3112E-2</v>
      </c>
      <c r="G846" t="s">
        <v>209</v>
      </c>
      <c r="I846">
        <f t="shared" si="46"/>
        <v>-7.1892111128399994E-2</v>
      </c>
      <c r="J846">
        <f t="shared" si="47"/>
        <v>-3.5825838283999999E-3</v>
      </c>
      <c r="K846">
        <f t="shared" si="48"/>
        <v>1.31108888716E-2</v>
      </c>
    </row>
    <row r="847" spans="1:11" x14ac:dyDescent="0.35">
      <c r="A847" t="s">
        <v>144</v>
      </c>
      <c r="B847">
        <v>14593</v>
      </c>
      <c r="C847">
        <v>6.1423999999999999E-2</v>
      </c>
      <c r="D847" s="5">
        <v>4.1666856999999999E-7</v>
      </c>
      <c r="E847">
        <v>-2.7105996E-2</v>
      </c>
      <c r="F847">
        <v>8.6899000000000004E-2</v>
      </c>
      <c r="G847" t="s">
        <v>209</v>
      </c>
      <c r="I847">
        <f t="shared" si="46"/>
        <v>6.1423583331429998E-2</v>
      </c>
      <c r="J847">
        <f t="shared" si="47"/>
        <v>-2.7106412668570001E-2</v>
      </c>
      <c r="K847">
        <f t="shared" si="48"/>
        <v>8.689858333143001E-2</v>
      </c>
    </row>
    <row r="848" spans="1:11" x14ac:dyDescent="0.35">
      <c r="A848" t="s">
        <v>145</v>
      </c>
      <c r="B848">
        <v>14593</v>
      </c>
      <c r="C848">
        <v>0.10046099999999999</v>
      </c>
      <c r="D848" s="5">
        <v>4.1666901999999998E-7</v>
      </c>
      <c r="E848">
        <v>5.6000657000000002E-2</v>
      </c>
      <c r="F848">
        <v>-5.9052E-2</v>
      </c>
      <c r="G848" t="s">
        <v>209</v>
      </c>
      <c r="I848">
        <f t="shared" si="46"/>
        <v>0.10046058333098</v>
      </c>
      <c r="J848">
        <f t="shared" si="47"/>
        <v>5.600024033098E-2</v>
      </c>
      <c r="K848">
        <f t="shared" si="48"/>
        <v>-5.9052416669020003E-2</v>
      </c>
    </row>
    <row r="849" spans="1:11" x14ac:dyDescent="0.35">
      <c r="A849" t="s">
        <v>146</v>
      </c>
      <c r="B849">
        <v>14593</v>
      </c>
      <c r="C849">
        <v>-3.1371999999999997E-2</v>
      </c>
      <c r="D849" s="5">
        <v>6.9445092999999996E-7</v>
      </c>
      <c r="E849">
        <v>-1.0326237E-2</v>
      </c>
      <c r="F849">
        <v>-2.1521999999999999E-2</v>
      </c>
      <c r="G849" t="s">
        <v>209</v>
      </c>
      <c r="I849">
        <f t="shared" si="46"/>
        <v>-3.1372694450929994E-2</v>
      </c>
      <c r="J849">
        <f t="shared" si="47"/>
        <v>-1.0326931450930001E-2</v>
      </c>
      <c r="K849">
        <f t="shared" si="48"/>
        <v>-2.152269445093E-2</v>
      </c>
    </row>
    <row r="850" spans="1:11" x14ac:dyDescent="0.35">
      <c r="A850" t="s">
        <v>147</v>
      </c>
      <c r="B850">
        <v>14593</v>
      </c>
      <c r="C850">
        <v>5.7860000000000003E-3</v>
      </c>
      <c r="D850" s="5">
        <v>6.9444996999999997E-7</v>
      </c>
      <c r="E850">
        <v>8.6387536000000001E-3</v>
      </c>
      <c r="F850">
        <v>-1.6720000000000001E-3</v>
      </c>
      <c r="G850" t="s">
        <v>209</v>
      </c>
      <c r="I850">
        <f t="shared" si="46"/>
        <v>5.78530555003E-3</v>
      </c>
      <c r="J850">
        <f t="shared" si="47"/>
        <v>8.6380591500300006E-3</v>
      </c>
      <c r="K850">
        <f t="shared" si="48"/>
        <v>-1.67269444997E-3</v>
      </c>
    </row>
    <row r="851" spans="1:11" x14ac:dyDescent="0.35">
      <c r="A851" t="s">
        <v>148</v>
      </c>
      <c r="B851">
        <v>14593</v>
      </c>
      <c r="C851">
        <v>4.5145999999999999E-2</v>
      </c>
      <c r="D851" s="5">
        <v>-1.3888861999999999E-7</v>
      </c>
      <c r="E851">
        <v>1.0356373E-2</v>
      </c>
      <c r="F851">
        <v>5.5519999999999996E-3</v>
      </c>
      <c r="G851" t="s">
        <v>209</v>
      </c>
      <c r="I851">
        <f t="shared" si="46"/>
        <v>4.5146138888619999E-2</v>
      </c>
      <c r="J851">
        <f t="shared" si="47"/>
        <v>1.0356511888620001E-2</v>
      </c>
      <c r="K851">
        <f t="shared" si="48"/>
        <v>5.5521388886199995E-3</v>
      </c>
    </row>
    <row r="852" spans="1:11" x14ac:dyDescent="0.35">
      <c r="A852" t="s">
        <v>149</v>
      </c>
      <c r="B852">
        <v>14593</v>
      </c>
      <c r="C852">
        <v>-3.7266000000000001E-2</v>
      </c>
      <c r="D852" s="5">
        <v>2.7777881000000001E-7</v>
      </c>
      <c r="E852">
        <v>-1.9239652999999999E-2</v>
      </c>
      <c r="F852">
        <v>-1.5162E-2</v>
      </c>
      <c r="G852" t="s">
        <v>209</v>
      </c>
      <c r="I852">
        <f t="shared" si="46"/>
        <v>-3.7266277778810003E-2</v>
      </c>
      <c r="J852">
        <f t="shared" si="47"/>
        <v>-1.9239930778809998E-2</v>
      </c>
      <c r="K852">
        <f t="shared" si="48"/>
        <v>-1.5162277778810001E-2</v>
      </c>
    </row>
    <row r="853" spans="1:11" x14ac:dyDescent="0.35">
      <c r="A853" t="s">
        <v>150</v>
      </c>
      <c r="B853">
        <v>14593</v>
      </c>
      <c r="C853">
        <v>-3.2888000000000001E-2</v>
      </c>
      <c r="D853" s="5">
        <v>1.3888911E-7</v>
      </c>
      <c r="E853">
        <v>1.2304676000000001E-2</v>
      </c>
      <c r="F853">
        <v>-6.6210000000000005E-2</v>
      </c>
      <c r="G853" t="s">
        <v>209</v>
      </c>
      <c r="I853">
        <f t="shared" si="46"/>
        <v>-3.2888138889109998E-2</v>
      </c>
      <c r="J853">
        <f t="shared" si="47"/>
        <v>1.2304537110890001E-2</v>
      </c>
      <c r="K853">
        <f t="shared" si="48"/>
        <v>-6.621013888911001E-2</v>
      </c>
    </row>
    <row r="854" spans="1:11" x14ac:dyDescent="0.35">
      <c r="A854" t="s">
        <v>151</v>
      </c>
      <c r="B854">
        <v>14593</v>
      </c>
      <c r="C854">
        <v>-6.6116999999999995E-2</v>
      </c>
      <c r="D854" s="5">
        <v>8.3334270999999995E-7</v>
      </c>
      <c r="E854">
        <v>-6.0059883000000001E-2</v>
      </c>
      <c r="F854">
        <v>3.7072000000000001E-2</v>
      </c>
      <c r="G854" t="s">
        <v>209</v>
      </c>
      <c r="I854">
        <f t="shared" si="46"/>
        <v>-6.611783334271E-2</v>
      </c>
      <c r="J854">
        <f t="shared" si="47"/>
        <v>-6.0060716342709999E-2</v>
      </c>
      <c r="K854">
        <f t="shared" si="48"/>
        <v>3.7071166657290003E-2</v>
      </c>
    </row>
    <row r="855" spans="1:11" x14ac:dyDescent="0.35">
      <c r="A855" t="s">
        <v>152</v>
      </c>
      <c r="B855">
        <v>14593</v>
      </c>
      <c r="C855">
        <v>-2.1815999999999999E-2</v>
      </c>
      <c r="D855" s="5">
        <v>2.7777869999999999E-7</v>
      </c>
      <c r="E855">
        <v>-3.3820637000000001E-2</v>
      </c>
      <c r="F855">
        <v>-1.8010999999999999E-2</v>
      </c>
      <c r="G855" t="s">
        <v>209</v>
      </c>
      <c r="I855">
        <f t="shared" si="46"/>
        <v>-2.1816277778699999E-2</v>
      </c>
      <c r="J855">
        <f t="shared" si="47"/>
        <v>-3.3820914778700001E-2</v>
      </c>
      <c r="K855">
        <f t="shared" si="48"/>
        <v>-1.8011277778699999E-2</v>
      </c>
    </row>
    <row r="856" spans="1:11" x14ac:dyDescent="0.35">
      <c r="A856" t="s">
        <v>153</v>
      </c>
      <c r="B856">
        <v>14593</v>
      </c>
      <c r="C856">
        <v>8.3408999999999997E-2</v>
      </c>
      <c r="D856" s="5">
        <v>-2.7777693000000002E-7</v>
      </c>
      <c r="E856">
        <v>7.4186891000000005E-2</v>
      </c>
      <c r="F856">
        <v>2.2834E-2</v>
      </c>
      <c r="G856" t="s">
        <v>209</v>
      </c>
      <c r="I856">
        <f t="shared" si="46"/>
        <v>8.3409277776929996E-2</v>
      </c>
      <c r="J856">
        <f t="shared" si="47"/>
        <v>7.4187168776930004E-2</v>
      </c>
      <c r="K856">
        <f t="shared" si="48"/>
        <v>2.283427777693E-2</v>
      </c>
    </row>
    <row r="857" spans="1:11" x14ac:dyDescent="0.35">
      <c r="A857" t="s">
        <v>154</v>
      </c>
      <c r="B857">
        <v>14593</v>
      </c>
      <c r="C857">
        <v>-5.6899999999999997E-3</v>
      </c>
      <c r="D857" s="5">
        <v>2.7777887000000002E-7</v>
      </c>
      <c r="E857">
        <v>6.7570386000000001E-3</v>
      </c>
      <c r="F857">
        <v>-6.7520999999999998E-2</v>
      </c>
      <c r="G857" t="s">
        <v>209</v>
      </c>
      <c r="I857">
        <f t="shared" si="46"/>
        <v>-5.6902777788699994E-3</v>
      </c>
      <c r="J857">
        <f t="shared" si="47"/>
        <v>6.7567608211300005E-3</v>
      </c>
      <c r="K857">
        <f t="shared" si="48"/>
        <v>-6.7521277778870001E-2</v>
      </c>
    </row>
    <row r="858" spans="1:11" x14ac:dyDescent="0.35">
      <c r="A858" t="s">
        <v>155</v>
      </c>
      <c r="B858">
        <v>14593</v>
      </c>
      <c r="C858">
        <v>-0.11022800000000001</v>
      </c>
      <c r="D858" s="5">
        <v>2.7778703E-6</v>
      </c>
      <c r="E858">
        <v>-2.2346674E-2</v>
      </c>
      <c r="F858">
        <v>-4.5129999999999997E-3</v>
      </c>
      <c r="G858" t="s">
        <v>209</v>
      </c>
      <c r="I858">
        <f t="shared" si="46"/>
        <v>-0.1102307778703</v>
      </c>
      <c r="J858">
        <f t="shared" si="47"/>
        <v>-2.2349451870300002E-2</v>
      </c>
      <c r="K858">
        <f t="shared" si="48"/>
        <v>-4.5157778702999999E-3</v>
      </c>
    </row>
    <row r="859" spans="1:11" x14ac:dyDescent="0.35">
      <c r="A859" t="s">
        <v>156</v>
      </c>
      <c r="B859">
        <v>14593</v>
      </c>
      <c r="C859">
        <v>-7.5242000000000003E-2</v>
      </c>
      <c r="D859" s="5">
        <v>3.8891008000000001E-6</v>
      </c>
      <c r="E859">
        <v>-5.6998282999999997E-2</v>
      </c>
      <c r="F859">
        <v>5.4101999999999997E-2</v>
      </c>
      <c r="G859" t="s">
        <v>209</v>
      </c>
      <c r="I859">
        <f t="shared" si="46"/>
        <v>-7.5245889100800004E-2</v>
      </c>
      <c r="J859">
        <f t="shared" si="47"/>
        <v>-5.7002172100799997E-2</v>
      </c>
      <c r="K859">
        <f t="shared" si="48"/>
        <v>5.4098110899199997E-2</v>
      </c>
    </row>
    <row r="860" spans="1:11" x14ac:dyDescent="0.35">
      <c r="A860" t="s">
        <v>157</v>
      </c>
      <c r="B860">
        <v>14593</v>
      </c>
      <c r="C860">
        <v>-1.335E-3</v>
      </c>
      <c r="D860" s="5">
        <v>6.2505273000000001E-6</v>
      </c>
      <c r="E860">
        <v>6.8726775000000002E-4</v>
      </c>
      <c r="F860">
        <v>0.10931200000000001</v>
      </c>
      <c r="G860" t="s">
        <v>209</v>
      </c>
      <c r="I860">
        <f t="shared" si="46"/>
        <v>-1.3412505273000001E-3</v>
      </c>
      <c r="J860">
        <f t="shared" si="47"/>
        <v>6.8101722270000006E-4</v>
      </c>
      <c r="K860">
        <f t="shared" si="48"/>
        <v>0.10930574947270001</v>
      </c>
    </row>
    <row r="861" spans="1:11" x14ac:dyDescent="0.35">
      <c r="A861" t="s">
        <v>158</v>
      </c>
      <c r="B861">
        <v>14593</v>
      </c>
      <c r="C861">
        <v>0.12721099999999999</v>
      </c>
      <c r="D861" s="5">
        <v>6.2504687000000001E-6</v>
      </c>
      <c r="E861">
        <v>7.0505328000000006E-2</v>
      </c>
      <c r="F861">
        <v>-8.4290000000000007E-3</v>
      </c>
      <c r="G861" t="s">
        <v>209</v>
      </c>
      <c r="I861">
        <f t="shared" si="46"/>
        <v>0.12720474953129998</v>
      </c>
      <c r="J861">
        <f t="shared" si="47"/>
        <v>7.0499077531300011E-2</v>
      </c>
      <c r="K861">
        <f t="shared" si="48"/>
        <v>-8.4352504687000007E-3</v>
      </c>
    </row>
    <row r="862" spans="1:11" x14ac:dyDescent="0.35">
      <c r="A862" t="s">
        <v>159</v>
      </c>
      <c r="B862">
        <v>14593</v>
      </c>
      <c r="C862">
        <v>-0.13992099999999999</v>
      </c>
      <c r="D862" s="5">
        <v>4.7225344000000004E-6</v>
      </c>
      <c r="E862">
        <v>1.1831184E-2</v>
      </c>
      <c r="F862">
        <v>5.1088000000000001E-2</v>
      </c>
      <c r="G862" t="s">
        <v>209</v>
      </c>
      <c r="I862">
        <f t="shared" si="46"/>
        <v>-0.1399257225344</v>
      </c>
      <c r="J862">
        <f t="shared" si="47"/>
        <v>1.1826461465599999E-2</v>
      </c>
      <c r="K862">
        <f t="shared" si="48"/>
        <v>5.1083277465599999E-2</v>
      </c>
    </row>
    <row r="863" spans="1:11" x14ac:dyDescent="0.35">
      <c r="A863" t="s">
        <v>160</v>
      </c>
      <c r="B863">
        <v>14593</v>
      </c>
      <c r="C863">
        <v>7.1368000000000001E-2</v>
      </c>
      <c r="D863" s="5">
        <v>4.3058058000000002E-6</v>
      </c>
      <c r="E863">
        <v>1.4391575E-2</v>
      </c>
      <c r="F863">
        <v>-6.1383E-2</v>
      </c>
      <c r="G863" t="s">
        <v>209</v>
      </c>
      <c r="I863">
        <f t="shared" si="46"/>
        <v>7.1363694194199995E-2</v>
      </c>
      <c r="J863">
        <f t="shared" si="47"/>
        <v>1.4387269194200001E-2</v>
      </c>
      <c r="K863">
        <f t="shared" si="48"/>
        <v>-6.1387305805799999E-2</v>
      </c>
    </row>
    <row r="864" spans="1:11" x14ac:dyDescent="0.35">
      <c r="A864" t="s">
        <v>161</v>
      </c>
      <c r="B864">
        <v>14593</v>
      </c>
      <c r="C864">
        <v>-4.2659999999999997E-2</v>
      </c>
      <c r="D864" s="5">
        <v>5.0002877000000001E-6</v>
      </c>
      <c r="E864">
        <v>3.1732204000000002E-3</v>
      </c>
      <c r="F864">
        <v>8.9694999999999997E-2</v>
      </c>
      <c r="G864" t="s">
        <v>209</v>
      </c>
      <c r="I864">
        <f t="shared" si="46"/>
        <v>-4.2665000287699997E-2</v>
      </c>
      <c r="J864">
        <f t="shared" si="47"/>
        <v>3.1682201123000003E-3</v>
      </c>
      <c r="K864">
        <f t="shared" si="48"/>
        <v>8.9689999712300003E-2</v>
      </c>
    </row>
    <row r="865" spans="1:11" x14ac:dyDescent="0.35">
      <c r="A865" t="s">
        <v>162</v>
      </c>
      <c r="B865">
        <v>14593</v>
      </c>
      <c r="C865">
        <v>9.0063000000000004E-2</v>
      </c>
      <c r="D865" s="5">
        <v>5.1392584999999999E-6</v>
      </c>
      <c r="E865">
        <v>3.8786817000000001E-2</v>
      </c>
      <c r="F865">
        <v>1.9847E-2</v>
      </c>
      <c r="G865" t="s">
        <v>209</v>
      </c>
      <c r="I865">
        <f t="shared" si="46"/>
        <v>9.0057860741500004E-2</v>
      </c>
      <c r="J865">
        <f t="shared" si="47"/>
        <v>3.8781677741500001E-2</v>
      </c>
      <c r="K865">
        <f t="shared" si="48"/>
        <v>1.98418607415E-2</v>
      </c>
    </row>
    <row r="866" spans="1:11" x14ac:dyDescent="0.35">
      <c r="A866" t="s">
        <v>163</v>
      </c>
      <c r="B866">
        <v>14593</v>
      </c>
      <c r="C866">
        <v>2.3605999999999999E-2</v>
      </c>
      <c r="D866" s="5">
        <v>5.0003378000000001E-6</v>
      </c>
      <c r="E866">
        <v>2.7987469999999999E-3</v>
      </c>
      <c r="F866">
        <v>-3.2563000000000002E-2</v>
      </c>
      <c r="G866" t="s">
        <v>209</v>
      </c>
      <c r="I866">
        <f t="shared" si="46"/>
        <v>2.3600999662199997E-2</v>
      </c>
      <c r="J866">
        <f t="shared" si="47"/>
        <v>2.7937466621999999E-3</v>
      </c>
      <c r="K866">
        <f t="shared" si="48"/>
        <v>-3.2568000337800003E-2</v>
      </c>
    </row>
    <row r="867" spans="1:11" x14ac:dyDescent="0.35">
      <c r="A867" t="s">
        <v>164</v>
      </c>
      <c r="B867">
        <v>14593</v>
      </c>
      <c r="C867">
        <v>6.5504000000000007E-2</v>
      </c>
      <c r="D867" s="5">
        <v>6.8060649000000001E-6</v>
      </c>
      <c r="E867">
        <v>3.0445021000000002E-3</v>
      </c>
      <c r="F867">
        <v>6.8919999999999997E-3</v>
      </c>
      <c r="G867" t="s">
        <v>209</v>
      </c>
      <c r="I867">
        <f t="shared" si="46"/>
        <v>6.5497193935100007E-2</v>
      </c>
      <c r="J867">
        <f t="shared" si="47"/>
        <v>3.0376960351E-3</v>
      </c>
      <c r="K867">
        <f t="shared" si="48"/>
        <v>6.8851939350999996E-3</v>
      </c>
    </row>
    <row r="868" spans="1:11" x14ac:dyDescent="0.35">
      <c r="A868" t="s">
        <v>165</v>
      </c>
      <c r="B868">
        <v>14593</v>
      </c>
      <c r="C868">
        <v>4.3340000000000002E-3</v>
      </c>
      <c r="D868" s="5">
        <v>5.5559721999999998E-6</v>
      </c>
      <c r="E868">
        <v>-2.7060966999999998E-2</v>
      </c>
      <c r="F868">
        <v>-2.9448999999999999E-2</v>
      </c>
      <c r="G868" t="s">
        <v>209</v>
      </c>
      <c r="I868">
        <f t="shared" si="46"/>
        <v>4.3284440278E-3</v>
      </c>
      <c r="J868">
        <f t="shared" si="47"/>
        <v>-2.7066522972199997E-2</v>
      </c>
      <c r="K868">
        <f t="shared" si="48"/>
        <v>-2.9454555972199998E-2</v>
      </c>
    </row>
    <row r="869" spans="1:11" x14ac:dyDescent="0.35">
      <c r="A869" t="s">
        <v>166</v>
      </c>
      <c r="B869">
        <v>14593</v>
      </c>
      <c r="C869">
        <v>-2.1578E-2</v>
      </c>
      <c r="D869" s="5">
        <v>5.0003127000000001E-6</v>
      </c>
      <c r="E869">
        <v>4.0418684000000003E-2</v>
      </c>
      <c r="F869">
        <v>-8.3566000000000001E-2</v>
      </c>
      <c r="G869" t="s">
        <v>209</v>
      </c>
      <c r="I869">
        <f t="shared" si="46"/>
        <v>-2.1583000312699999E-2</v>
      </c>
      <c r="J869">
        <f t="shared" si="47"/>
        <v>4.04136836873E-2</v>
      </c>
      <c r="K869">
        <f t="shared" si="48"/>
        <v>-8.3571000312699997E-2</v>
      </c>
    </row>
    <row r="870" spans="1:11" x14ac:dyDescent="0.35">
      <c r="A870" t="s">
        <v>167</v>
      </c>
      <c r="B870">
        <v>14593</v>
      </c>
      <c r="C870">
        <v>4.7954999999999998E-2</v>
      </c>
      <c r="D870" s="5">
        <v>6.9449747999999996E-6</v>
      </c>
      <c r="E870">
        <v>1.8747913000000001E-2</v>
      </c>
      <c r="F870">
        <v>-1.915E-2</v>
      </c>
      <c r="G870" t="s">
        <v>209</v>
      </c>
      <c r="I870">
        <f t="shared" si="46"/>
        <v>4.7948055025199998E-2</v>
      </c>
      <c r="J870">
        <f t="shared" si="47"/>
        <v>1.8740968025200002E-2</v>
      </c>
      <c r="K870">
        <f t="shared" si="48"/>
        <v>-1.91569449748E-2</v>
      </c>
    </row>
    <row r="871" spans="1:11" x14ac:dyDescent="0.35">
      <c r="A871" t="s">
        <v>168</v>
      </c>
      <c r="B871">
        <v>14593</v>
      </c>
      <c r="C871">
        <v>4.7745999999999997E-2</v>
      </c>
      <c r="D871" s="5">
        <v>1.2502110000000001E-5</v>
      </c>
      <c r="E871">
        <v>2.2173285000000001E-2</v>
      </c>
      <c r="F871">
        <v>5.4191999999999997E-2</v>
      </c>
      <c r="G871" t="s">
        <v>209</v>
      </c>
      <c r="I871">
        <f t="shared" si="46"/>
        <v>4.7733497889999997E-2</v>
      </c>
      <c r="J871">
        <f t="shared" si="47"/>
        <v>2.2160782890000001E-2</v>
      </c>
      <c r="K871">
        <f t="shared" si="48"/>
        <v>5.4179497889999997E-2</v>
      </c>
    </row>
    <row r="872" spans="1:11" x14ac:dyDescent="0.35">
      <c r="A872" t="s">
        <v>169</v>
      </c>
      <c r="B872">
        <v>14593</v>
      </c>
      <c r="C872">
        <v>0.13358100000000001</v>
      </c>
      <c r="D872" s="5">
        <v>1.3057516E-5</v>
      </c>
      <c r="E872">
        <v>3.2628167E-2</v>
      </c>
      <c r="F872">
        <v>3.1848000000000001E-2</v>
      </c>
      <c r="G872" t="s">
        <v>209</v>
      </c>
      <c r="I872">
        <f t="shared" si="46"/>
        <v>0.133567942484</v>
      </c>
      <c r="J872">
        <f t="shared" si="47"/>
        <v>3.2615109484000003E-2</v>
      </c>
      <c r="K872">
        <f t="shared" si="48"/>
        <v>3.1834942484000005E-2</v>
      </c>
    </row>
    <row r="873" spans="1:11" x14ac:dyDescent="0.35">
      <c r="A873" t="s">
        <v>170</v>
      </c>
      <c r="B873">
        <v>14593</v>
      </c>
      <c r="C873">
        <v>4.8689999999999997E-2</v>
      </c>
      <c r="D873" s="5">
        <v>1.2223941E-5</v>
      </c>
      <c r="E873">
        <v>2.0500966000000002E-3</v>
      </c>
      <c r="F873">
        <v>-4.2770000000000004E-3</v>
      </c>
      <c r="G873" t="s">
        <v>209</v>
      </c>
      <c r="I873">
        <f t="shared" si="46"/>
        <v>4.8677776058999998E-2</v>
      </c>
      <c r="J873">
        <f t="shared" si="47"/>
        <v>2.037872659E-3</v>
      </c>
      <c r="K873">
        <f t="shared" si="48"/>
        <v>-4.2892239410000001E-3</v>
      </c>
    </row>
    <row r="874" spans="1:11" x14ac:dyDescent="0.35">
      <c r="A874" t="s">
        <v>171</v>
      </c>
      <c r="B874">
        <v>14593</v>
      </c>
      <c r="C874">
        <v>-6.9999999999999994E-5</v>
      </c>
      <c r="D874" s="5">
        <v>2.0088781000000001E-5</v>
      </c>
      <c r="E874">
        <v>9.6190701999999996E-3</v>
      </c>
      <c r="F874">
        <v>1.7267000000000001E-2</v>
      </c>
      <c r="G874" t="s">
        <v>209</v>
      </c>
      <c r="I874">
        <f t="shared" si="46"/>
        <v>-9.0088780999999992E-5</v>
      </c>
      <c r="J874">
        <f t="shared" si="47"/>
        <v>9.5989814189999991E-3</v>
      </c>
      <c r="K874">
        <f t="shared" si="48"/>
        <v>1.7246911219000002E-2</v>
      </c>
    </row>
    <row r="875" spans="1:11" x14ac:dyDescent="0.35">
      <c r="A875" t="s">
        <v>172</v>
      </c>
      <c r="B875">
        <v>14593</v>
      </c>
      <c r="C875">
        <v>6.7804000000000003E-2</v>
      </c>
      <c r="D875" s="5">
        <v>1.8337871999999999E-5</v>
      </c>
      <c r="E875">
        <v>9.3579440999999996E-3</v>
      </c>
      <c r="F875">
        <v>-1.242E-3</v>
      </c>
      <c r="G875" t="s">
        <v>209</v>
      </c>
      <c r="I875">
        <f t="shared" si="46"/>
        <v>6.778566212800001E-2</v>
      </c>
      <c r="J875">
        <f t="shared" si="47"/>
        <v>9.3396062279999994E-3</v>
      </c>
      <c r="K875">
        <f t="shared" si="48"/>
        <v>-1.260337872E-3</v>
      </c>
    </row>
    <row r="876" spans="1:11" x14ac:dyDescent="0.35">
      <c r="A876" t="s">
        <v>173</v>
      </c>
      <c r="B876">
        <v>14593</v>
      </c>
      <c r="C876">
        <v>-5.7214000000000001E-2</v>
      </c>
      <c r="D876" s="5">
        <v>2.0282302999999999E-5</v>
      </c>
      <c r="E876">
        <v>9.6782167000000006E-3</v>
      </c>
      <c r="F876">
        <v>-2.1555000000000001E-2</v>
      </c>
      <c r="G876" t="s">
        <v>209</v>
      </c>
      <c r="I876">
        <f t="shared" si="46"/>
        <v>-5.7234282302999998E-2</v>
      </c>
      <c r="J876">
        <f t="shared" si="47"/>
        <v>9.6579343970000005E-3</v>
      </c>
      <c r="K876">
        <f t="shared" si="48"/>
        <v>-2.1575282303000001E-2</v>
      </c>
    </row>
    <row r="877" spans="1:11" x14ac:dyDescent="0.35">
      <c r="A877" t="s">
        <v>174</v>
      </c>
      <c r="B877">
        <v>14593</v>
      </c>
      <c r="C877">
        <v>3.2703999999999997E-2</v>
      </c>
      <c r="D877" s="5">
        <v>2.2784785000000001E-5</v>
      </c>
      <c r="E877">
        <v>1.7181420999999999E-2</v>
      </c>
      <c r="F877">
        <v>2.3132E-2</v>
      </c>
      <c r="G877" t="s">
        <v>209</v>
      </c>
      <c r="I877">
        <f t="shared" si="46"/>
        <v>3.2681215214999997E-2</v>
      </c>
      <c r="J877">
        <f t="shared" si="47"/>
        <v>1.7158636214999998E-2</v>
      </c>
      <c r="K877">
        <f t="shared" si="48"/>
        <v>2.3109215214999999E-2</v>
      </c>
    </row>
    <row r="878" spans="1:11" x14ac:dyDescent="0.35">
      <c r="A878" t="s">
        <v>175</v>
      </c>
      <c r="B878">
        <v>14593</v>
      </c>
      <c r="C878">
        <v>0.106905</v>
      </c>
      <c r="D878" s="5">
        <v>2.6814181E-5</v>
      </c>
      <c r="E878">
        <v>1.6129673E-3</v>
      </c>
      <c r="F878">
        <v>4.1987999999999998E-2</v>
      </c>
      <c r="G878" t="s">
        <v>209</v>
      </c>
      <c r="I878">
        <f t="shared" si="46"/>
        <v>0.10687818581899999</v>
      </c>
      <c r="J878">
        <f t="shared" si="47"/>
        <v>1.586153119E-3</v>
      </c>
      <c r="K878">
        <f t="shared" si="48"/>
        <v>4.1961185818999998E-2</v>
      </c>
    </row>
    <row r="879" spans="1:11" x14ac:dyDescent="0.35">
      <c r="A879" t="s">
        <v>176</v>
      </c>
      <c r="B879">
        <v>14593</v>
      </c>
      <c r="C879">
        <v>-6.0243999999999999E-2</v>
      </c>
      <c r="D879" s="5">
        <v>2.4980956E-5</v>
      </c>
      <c r="E879">
        <v>2.3813292E-2</v>
      </c>
      <c r="F879">
        <v>-3.3699E-2</v>
      </c>
      <c r="G879" t="s">
        <v>209</v>
      </c>
      <c r="I879">
        <f t="shared" si="46"/>
        <v>-6.0268980956000001E-2</v>
      </c>
      <c r="J879">
        <f t="shared" si="47"/>
        <v>2.3788311044000001E-2</v>
      </c>
      <c r="K879">
        <f t="shared" si="48"/>
        <v>-3.3723980956000002E-2</v>
      </c>
    </row>
    <row r="880" spans="1:11" x14ac:dyDescent="0.35">
      <c r="A880" t="s">
        <v>177</v>
      </c>
      <c r="B880">
        <v>14593</v>
      </c>
      <c r="C880">
        <v>9.6808000000000005E-2</v>
      </c>
      <c r="D880" s="5">
        <v>2.6120319999999999E-5</v>
      </c>
      <c r="E880">
        <v>2.134813E-2</v>
      </c>
      <c r="F880">
        <v>-7.4850000000000003E-3</v>
      </c>
      <c r="G880" t="s">
        <v>209</v>
      </c>
      <c r="I880">
        <f t="shared" si="46"/>
        <v>9.6781879680000002E-2</v>
      </c>
      <c r="J880">
        <f t="shared" si="47"/>
        <v>2.132200968E-2</v>
      </c>
      <c r="K880">
        <f t="shared" si="48"/>
        <v>-7.5111203200000001E-3</v>
      </c>
    </row>
    <row r="881" spans="1:11" x14ac:dyDescent="0.35">
      <c r="A881" t="s">
        <v>178</v>
      </c>
      <c r="B881">
        <v>14593</v>
      </c>
      <c r="C881">
        <v>2.035E-2</v>
      </c>
      <c r="D881" s="5">
        <v>2.6814181E-5</v>
      </c>
      <c r="E881">
        <v>2.7409703000000001E-2</v>
      </c>
      <c r="F881">
        <v>3.5630000000000002E-3</v>
      </c>
      <c r="G881" t="s">
        <v>209</v>
      </c>
      <c r="I881">
        <f t="shared" si="46"/>
        <v>2.0323185819E-2</v>
      </c>
      <c r="J881">
        <f t="shared" si="47"/>
        <v>2.7382888819000001E-2</v>
      </c>
      <c r="K881">
        <f t="shared" si="48"/>
        <v>3.536185819E-3</v>
      </c>
    </row>
    <row r="882" spans="1:11" x14ac:dyDescent="0.35">
      <c r="A882" t="s">
        <v>179</v>
      </c>
      <c r="B882">
        <v>14593</v>
      </c>
      <c r="C882">
        <v>-1.5245999999999999E-2</v>
      </c>
      <c r="D882" s="5">
        <v>3.0985658999999998E-5</v>
      </c>
      <c r="E882">
        <v>1.2286760000000001E-2</v>
      </c>
      <c r="F882">
        <v>2.1056999999999999E-2</v>
      </c>
      <c r="G882" t="s">
        <v>209</v>
      </c>
      <c r="I882">
        <f t="shared" si="46"/>
        <v>-1.5276985658999999E-2</v>
      </c>
      <c r="J882">
        <f t="shared" si="47"/>
        <v>1.2255774341000001E-2</v>
      </c>
      <c r="K882">
        <f t="shared" si="48"/>
        <v>2.1026014340999998E-2</v>
      </c>
    </row>
    <row r="883" spans="1:11" x14ac:dyDescent="0.35">
      <c r="A883" t="s">
        <v>180</v>
      </c>
      <c r="B883">
        <v>14593</v>
      </c>
      <c r="C883">
        <v>-1.0636E-2</v>
      </c>
      <c r="D883" s="5">
        <v>3.4738506999999999E-5</v>
      </c>
      <c r="E883">
        <v>5.0687826999999998E-2</v>
      </c>
      <c r="F883">
        <v>3.2349000000000003E-2</v>
      </c>
      <c r="G883" t="s">
        <v>209</v>
      </c>
      <c r="I883">
        <f t="shared" si="46"/>
        <v>-1.0670738507E-2</v>
      </c>
      <c r="J883">
        <f t="shared" si="47"/>
        <v>5.0653088493000001E-2</v>
      </c>
      <c r="K883">
        <f t="shared" si="48"/>
        <v>3.2314261493000006E-2</v>
      </c>
    </row>
    <row r="884" spans="1:11" x14ac:dyDescent="0.35">
      <c r="A884" t="s">
        <v>181</v>
      </c>
      <c r="B884">
        <v>14593</v>
      </c>
      <c r="C884">
        <v>6.7610000000000003E-2</v>
      </c>
      <c r="D884" s="5">
        <v>3.2789600999999998E-5</v>
      </c>
      <c r="E884">
        <v>-3.9435158999999997E-2</v>
      </c>
      <c r="F884">
        <v>-2.0760000000000001E-2</v>
      </c>
      <c r="G884" t="s">
        <v>209</v>
      </c>
      <c r="I884">
        <f t="shared" si="46"/>
        <v>6.7577210398999998E-2</v>
      </c>
      <c r="J884">
        <f t="shared" si="47"/>
        <v>-3.9467948600999996E-2</v>
      </c>
      <c r="K884">
        <f t="shared" si="48"/>
        <v>-2.0792789601000002E-2</v>
      </c>
    </row>
    <row r="885" spans="1:11" x14ac:dyDescent="0.35">
      <c r="A885" t="s">
        <v>182</v>
      </c>
      <c r="B885">
        <v>14593</v>
      </c>
      <c r="C885">
        <v>-5.8050999999999998E-2</v>
      </c>
      <c r="D885" s="5">
        <v>3.7376473999999999E-5</v>
      </c>
      <c r="E885">
        <v>-1.8494523999999998E-2</v>
      </c>
      <c r="F885">
        <v>6.3200000000000001E-3</v>
      </c>
      <c r="G885" t="s">
        <v>209</v>
      </c>
      <c r="I885">
        <f t="shared" si="46"/>
        <v>-5.8088376473999996E-2</v>
      </c>
      <c r="J885">
        <f t="shared" si="47"/>
        <v>-1.8531900473999999E-2</v>
      </c>
      <c r="K885">
        <f t="shared" si="48"/>
        <v>6.2826235259999998E-3</v>
      </c>
    </row>
    <row r="886" spans="1:11" x14ac:dyDescent="0.35">
      <c r="A886" t="s">
        <v>183</v>
      </c>
      <c r="B886">
        <v>14593</v>
      </c>
      <c r="C886">
        <v>-1.502E-2</v>
      </c>
      <c r="D886" s="5">
        <v>4.4472123E-5</v>
      </c>
      <c r="E886">
        <v>4.8402747999999997E-3</v>
      </c>
      <c r="F886">
        <v>-9.5399999999999999E-3</v>
      </c>
      <c r="G886" t="s">
        <v>209</v>
      </c>
      <c r="I886">
        <f t="shared" si="46"/>
        <v>-1.5064472123E-2</v>
      </c>
      <c r="J886">
        <f t="shared" si="47"/>
        <v>4.7958026769999995E-3</v>
      </c>
      <c r="K886">
        <f t="shared" si="48"/>
        <v>-9.5844721229999992E-3</v>
      </c>
    </row>
    <row r="887" spans="1:11" x14ac:dyDescent="0.35">
      <c r="A887" t="s">
        <v>184</v>
      </c>
      <c r="B887">
        <v>14593</v>
      </c>
      <c r="C887">
        <v>0.135181</v>
      </c>
      <c r="D887" s="5">
        <v>4.5024317000000002E-5</v>
      </c>
      <c r="E887">
        <v>2.6277516000000001E-2</v>
      </c>
      <c r="F887">
        <v>-1.1958999999999999E-2</v>
      </c>
      <c r="G887" t="s">
        <v>209</v>
      </c>
      <c r="I887">
        <f t="shared" si="46"/>
        <v>0.13513597568300001</v>
      </c>
      <c r="J887">
        <f t="shared" si="47"/>
        <v>2.6232491683E-2</v>
      </c>
      <c r="K887">
        <f t="shared" si="48"/>
        <v>-1.2004024316999999E-2</v>
      </c>
    </row>
    <row r="888" spans="1:11" x14ac:dyDescent="0.35">
      <c r="A888" t="s">
        <v>185</v>
      </c>
      <c r="B888">
        <v>14593</v>
      </c>
      <c r="C888">
        <v>-9.4179999999999993E-3</v>
      </c>
      <c r="D888" s="5">
        <v>4.7670687999999998E-5</v>
      </c>
      <c r="E888">
        <v>5.2912380000000002E-3</v>
      </c>
      <c r="F888">
        <v>-3.6149000000000001E-2</v>
      </c>
      <c r="G888" t="s">
        <v>209</v>
      </c>
      <c r="I888">
        <f t="shared" si="46"/>
        <v>-9.4656706879999997E-3</v>
      </c>
      <c r="J888">
        <f t="shared" si="47"/>
        <v>5.2435673119999998E-3</v>
      </c>
      <c r="K888">
        <f t="shared" si="48"/>
        <v>-3.6196670687999997E-2</v>
      </c>
    </row>
    <row r="889" spans="1:11" x14ac:dyDescent="0.35">
      <c r="A889" t="s">
        <v>186</v>
      </c>
      <c r="B889">
        <v>14593</v>
      </c>
      <c r="C889">
        <v>2.7983000000000001E-2</v>
      </c>
      <c r="D889" s="5">
        <v>4.8086759999999999E-5</v>
      </c>
      <c r="E889">
        <v>3.1689063000000003E-2</v>
      </c>
      <c r="F889">
        <v>-2.2419000000000001E-2</v>
      </c>
      <c r="G889" t="s">
        <v>209</v>
      </c>
      <c r="I889">
        <f t="shared" si="46"/>
        <v>2.7934913240000001E-2</v>
      </c>
      <c r="J889">
        <f t="shared" si="47"/>
        <v>3.164097624E-2</v>
      </c>
      <c r="K889">
        <f t="shared" si="48"/>
        <v>-2.2467086760000001E-2</v>
      </c>
    </row>
    <row r="890" spans="1:11" x14ac:dyDescent="0.35">
      <c r="A890" t="s">
        <v>187</v>
      </c>
      <c r="B890">
        <v>14593</v>
      </c>
      <c r="C890">
        <v>0.20006299999999999</v>
      </c>
      <c r="D890" s="5">
        <v>5.1975497999999999E-5</v>
      </c>
      <c r="E890">
        <v>3.0351875E-2</v>
      </c>
      <c r="F890">
        <v>-2.1381000000000001E-2</v>
      </c>
      <c r="G890" t="s">
        <v>209</v>
      </c>
      <c r="I890">
        <f t="shared" si="46"/>
        <v>0.20001102450199998</v>
      </c>
      <c r="J890">
        <f t="shared" si="47"/>
        <v>3.0299899501999999E-2</v>
      </c>
      <c r="K890">
        <f t="shared" si="48"/>
        <v>-2.1432975498000002E-2</v>
      </c>
    </row>
    <row r="891" spans="1:11" x14ac:dyDescent="0.35">
      <c r="A891" t="s">
        <v>188</v>
      </c>
      <c r="B891">
        <v>14593</v>
      </c>
      <c r="C891">
        <v>-8.3029999999999996E-3</v>
      </c>
      <c r="D891" s="5">
        <v>5.2954507000000002E-5</v>
      </c>
      <c r="E891">
        <v>4.7995379999999998E-4</v>
      </c>
      <c r="F891">
        <v>-6.607E-3</v>
      </c>
      <c r="G891" t="s">
        <v>209</v>
      </c>
      <c r="I891">
        <f t="shared" si="46"/>
        <v>-8.3559545069999998E-3</v>
      </c>
      <c r="J891">
        <f t="shared" si="47"/>
        <v>4.2699929299999998E-4</v>
      </c>
      <c r="K891">
        <f t="shared" si="48"/>
        <v>-6.6599545070000002E-3</v>
      </c>
    </row>
    <row r="892" spans="1:11" x14ac:dyDescent="0.35">
      <c r="A892" t="s">
        <v>189</v>
      </c>
      <c r="B892">
        <v>14593</v>
      </c>
      <c r="C892">
        <v>-3.0478000000000002E-2</v>
      </c>
      <c r="D892" s="5">
        <v>5.7961999000000002E-5</v>
      </c>
      <c r="E892">
        <v>-7.2749645000000002E-2</v>
      </c>
      <c r="F892">
        <v>2.1194999999999999E-2</v>
      </c>
      <c r="G892" t="s">
        <v>209</v>
      </c>
      <c r="I892">
        <f t="shared" ref="I892:I956" si="49">C892-D892</f>
        <v>-3.0535961999000001E-2</v>
      </c>
      <c r="J892">
        <f t="shared" ref="J892:J956" si="50">E892-D892</f>
        <v>-7.2807606999000005E-2</v>
      </c>
      <c r="K892">
        <f t="shared" ref="K892:K956" si="51">F892-D892</f>
        <v>2.1137038000999999E-2</v>
      </c>
    </row>
    <row r="893" spans="1:11" x14ac:dyDescent="0.35">
      <c r="A893" t="s">
        <v>190</v>
      </c>
      <c r="B893">
        <v>14593</v>
      </c>
      <c r="C893">
        <v>-0.18070900000000001</v>
      </c>
      <c r="D893" s="5">
        <v>5.9763279E-5</v>
      </c>
      <c r="E893">
        <v>4.4112142E-2</v>
      </c>
      <c r="F893">
        <v>3.3869999999999998E-3</v>
      </c>
      <c r="G893" t="s">
        <v>209</v>
      </c>
      <c r="I893">
        <f t="shared" si="49"/>
        <v>-0.18076876327900002</v>
      </c>
      <c r="J893">
        <f t="shared" si="50"/>
        <v>4.4052378720999999E-2</v>
      </c>
      <c r="K893">
        <f t="shared" si="51"/>
        <v>3.3272367209999996E-3</v>
      </c>
    </row>
    <row r="894" spans="1:11" x14ac:dyDescent="0.35">
      <c r="A894" t="s">
        <v>191</v>
      </c>
      <c r="B894">
        <v>14593</v>
      </c>
      <c r="C894">
        <v>-0.116698</v>
      </c>
      <c r="D894" s="5">
        <v>6.1300699999999994E-5</v>
      </c>
      <c r="E894">
        <v>-7.4872575999999996E-2</v>
      </c>
      <c r="F894">
        <v>4.9419999999999999E-2</v>
      </c>
      <c r="G894" t="s">
        <v>209</v>
      </c>
      <c r="I894">
        <f t="shared" si="49"/>
        <v>-0.1167593007</v>
      </c>
      <c r="J894">
        <f t="shared" si="50"/>
        <v>-7.4933876699999999E-2</v>
      </c>
      <c r="K894">
        <f t="shared" si="51"/>
        <v>4.9358699299999996E-2</v>
      </c>
    </row>
    <row r="895" spans="1:11" x14ac:dyDescent="0.35">
      <c r="A895" t="s">
        <v>192</v>
      </c>
      <c r="B895">
        <v>14593</v>
      </c>
      <c r="C895">
        <v>5.5154000000000002E-2</v>
      </c>
      <c r="D895" s="5">
        <v>6.2691921000000006E-5</v>
      </c>
      <c r="E895">
        <v>8.8008939999999994E-2</v>
      </c>
      <c r="F895">
        <v>2.8865999999999999E-2</v>
      </c>
      <c r="G895" t="s">
        <v>209</v>
      </c>
      <c r="I895">
        <f t="shared" si="49"/>
        <v>5.5091308079E-2</v>
      </c>
      <c r="J895">
        <f t="shared" si="50"/>
        <v>8.7946248078999992E-2</v>
      </c>
      <c r="K895">
        <f t="shared" si="51"/>
        <v>2.8803308079000001E-2</v>
      </c>
    </row>
    <row r="896" spans="1:11" x14ac:dyDescent="0.35">
      <c r="A896" t="s">
        <v>193</v>
      </c>
      <c r="B896">
        <v>14593</v>
      </c>
      <c r="C896">
        <v>4.4700999999999998E-2</v>
      </c>
      <c r="D896" s="5">
        <v>6.5894084000000006E-5</v>
      </c>
      <c r="E896">
        <v>3.2714512000000001E-2</v>
      </c>
      <c r="F896">
        <v>-6.0920000000000002E-3</v>
      </c>
      <c r="G896" t="s">
        <v>209</v>
      </c>
      <c r="I896">
        <f t="shared" si="49"/>
        <v>4.4635105915999999E-2</v>
      </c>
      <c r="J896">
        <f t="shared" si="50"/>
        <v>3.2648617916000003E-2</v>
      </c>
      <c r="K896">
        <f t="shared" si="51"/>
        <v>-6.1578940840000002E-3</v>
      </c>
    </row>
    <row r="897" spans="1:11" x14ac:dyDescent="0.35">
      <c r="A897" t="s">
        <v>194</v>
      </c>
      <c r="B897">
        <v>14593</v>
      </c>
      <c r="C897">
        <v>9.7026000000000001E-2</v>
      </c>
      <c r="D897" s="5">
        <v>6.4920080999999997E-5</v>
      </c>
      <c r="E897">
        <v>1.3366196E-2</v>
      </c>
      <c r="F897">
        <v>-1.5969000000000001E-2</v>
      </c>
      <c r="G897" t="s">
        <v>209</v>
      </c>
      <c r="I897">
        <f t="shared" si="49"/>
        <v>9.6961079919000007E-2</v>
      </c>
      <c r="J897">
        <f t="shared" si="50"/>
        <v>1.3301275919000001E-2</v>
      </c>
      <c r="K897">
        <f t="shared" si="51"/>
        <v>-1.6033920081000002E-2</v>
      </c>
    </row>
    <row r="898" spans="1:11" x14ac:dyDescent="0.35">
      <c r="A898" t="s">
        <v>195</v>
      </c>
      <c r="B898">
        <v>14593</v>
      </c>
      <c r="C898">
        <v>5.6436E-2</v>
      </c>
      <c r="D898" s="5">
        <v>6.4361448000000001E-5</v>
      </c>
      <c r="E898">
        <v>3.7867329999999998E-2</v>
      </c>
      <c r="F898">
        <v>-6.6389999999999999E-3</v>
      </c>
      <c r="G898" t="s">
        <v>209</v>
      </c>
      <c r="I898">
        <f t="shared" si="49"/>
        <v>5.6371638552000003E-2</v>
      </c>
      <c r="J898">
        <f t="shared" si="50"/>
        <v>3.7802968552000001E-2</v>
      </c>
      <c r="K898">
        <f t="shared" si="51"/>
        <v>-6.7033614479999996E-3</v>
      </c>
    </row>
    <row r="899" spans="1:11" x14ac:dyDescent="0.35">
      <c r="A899" t="s">
        <v>196</v>
      </c>
      <c r="B899">
        <v>14593</v>
      </c>
      <c r="C899">
        <v>-0.123735</v>
      </c>
      <c r="D899" s="5">
        <v>6.5744126999999993E-5</v>
      </c>
      <c r="E899">
        <v>-6.1593663E-2</v>
      </c>
      <c r="F899">
        <v>1.7573999999999999E-2</v>
      </c>
      <c r="G899" t="s">
        <v>209</v>
      </c>
      <c r="I899">
        <f t="shared" si="49"/>
        <v>-0.123800744127</v>
      </c>
      <c r="J899">
        <f t="shared" si="50"/>
        <v>-6.1659407127E-2</v>
      </c>
      <c r="K899">
        <f t="shared" si="51"/>
        <v>1.7508255872999999E-2</v>
      </c>
    </row>
    <row r="900" spans="1:11" x14ac:dyDescent="0.35">
      <c r="A900" t="s">
        <v>197</v>
      </c>
      <c r="B900">
        <v>14593</v>
      </c>
      <c r="C900">
        <v>0.130519</v>
      </c>
      <c r="D900" s="5">
        <v>6.2413674000000004E-5</v>
      </c>
      <c r="E900">
        <v>6.7385903999999996E-2</v>
      </c>
      <c r="F900">
        <v>8.0029000000000003E-2</v>
      </c>
      <c r="G900" t="s">
        <v>209</v>
      </c>
      <c r="I900">
        <f t="shared" si="49"/>
        <v>0.13045658632599999</v>
      </c>
      <c r="J900">
        <f t="shared" si="50"/>
        <v>6.7323490325999991E-2</v>
      </c>
      <c r="K900">
        <f t="shared" si="51"/>
        <v>7.9966586325999997E-2</v>
      </c>
    </row>
    <row r="901" spans="1:11" x14ac:dyDescent="0.35">
      <c r="A901" t="s">
        <v>198</v>
      </c>
      <c r="B901">
        <v>14593</v>
      </c>
      <c r="C901">
        <v>7.6394000000000004E-2</v>
      </c>
      <c r="D901" s="5">
        <v>5.4067222999999999E-5</v>
      </c>
      <c r="E901">
        <v>1.3151872E-2</v>
      </c>
      <c r="F901">
        <v>7.4999999999999993E-5</v>
      </c>
      <c r="G901" t="s">
        <v>209</v>
      </c>
      <c r="I901">
        <f t="shared" si="49"/>
        <v>7.6339932777000005E-2</v>
      </c>
      <c r="J901">
        <f t="shared" si="50"/>
        <v>1.3097804777E-2</v>
      </c>
      <c r="K901">
        <f t="shared" si="51"/>
        <v>2.0932776999999994E-5</v>
      </c>
    </row>
    <row r="902" spans="1:11" x14ac:dyDescent="0.35">
      <c r="A902" t="s">
        <v>199</v>
      </c>
      <c r="B902">
        <v>14593</v>
      </c>
      <c r="C902">
        <v>-1.6570000000000001E-2</v>
      </c>
      <c r="D902" s="5">
        <v>5.5450476999999997E-5</v>
      </c>
      <c r="E902">
        <v>-2.0256182000000001E-2</v>
      </c>
      <c r="F902">
        <v>7.9122999999999999E-2</v>
      </c>
      <c r="G902" t="s">
        <v>209</v>
      </c>
      <c r="I902">
        <f t="shared" si="49"/>
        <v>-1.6625450477000002E-2</v>
      </c>
      <c r="J902">
        <f t="shared" si="50"/>
        <v>-2.0311632477000002E-2</v>
      </c>
      <c r="K902">
        <f t="shared" si="51"/>
        <v>7.9067549523000005E-2</v>
      </c>
    </row>
    <row r="903" spans="1:11" x14ac:dyDescent="0.35">
      <c r="A903" t="s">
        <v>200</v>
      </c>
      <c r="B903">
        <v>14593</v>
      </c>
      <c r="C903">
        <v>7.2961999999999999E-2</v>
      </c>
      <c r="D903" s="5">
        <v>5.3928131999999997E-5</v>
      </c>
      <c r="E903">
        <v>1.5959764000000001E-2</v>
      </c>
      <c r="F903">
        <v>-3.3947999999999999E-2</v>
      </c>
      <c r="G903" t="s">
        <v>209</v>
      </c>
      <c r="I903">
        <f t="shared" si="49"/>
        <v>7.2908071867999996E-2</v>
      </c>
      <c r="J903">
        <f t="shared" si="50"/>
        <v>1.5905835868000002E-2</v>
      </c>
      <c r="K903">
        <f t="shared" si="51"/>
        <v>-3.4001928132000002E-2</v>
      </c>
    </row>
    <row r="904" spans="1:11" x14ac:dyDescent="0.35">
      <c r="A904" t="s">
        <v>201</v>
      </c>
      <c r="B904">
        <v>14593</v>
      </c>
      <c r="C904">
        <v>0.110684</v>
      </c>
      <c r="D904" s="5">
        <v>4.7833000000000001E-5</v>
      </c>
      <c r="E904">
        <v>2.0895692E-2</v>
      </c>
      <c r="F904">
        <v>2.5635000000000002E-2</v>
      </c>
      <c r="G904" t="s">
        <v>209</v>
      </c>
      <c r="I904">
        <f t="shared" si="49"/>
        <v>0.11063616700000001</v>
      </c>
      <c r="J904">
        <f t="shared" si="50"/>
        <v>2.0847859E-2</v>
      </c>
      <c r="K904">
        <f t="shared" si="51"/>
        <v>2.5587167000000001E-2</v>
      </c>
    </row>
    <row r="905" spans="1:11" x14ac:dyDescent="0.35">
      <c r="A905" t="s">
        <v>202</v>
      </c>
      <c r="B905">
        <v>14593</v>
      </c>
      <c r="C905">
        <v>7.7424000000000007E-2</v>
      </c>
      <c r="D905" s="5">
        <v>4.0996583E-5</v>
      </c>
      <c r="E905">
        <v>3.6646235999999999E-2</v>
      </c>
      <c r="F905">
        <v>-3.2086000000000003E-2</v>
      </c>
      <c r="G905" t="s">
        <v>209</v>
      </c>
      <c r="I905">
        <f t="shared" si="49"/>
        <v>7.738300341700001E-2</v>
      </c>
      <c r="J905">
        <f t="shared" si="50"/>
        <v>3.6605239417000002E-2</v>
      </c>
      <c r="K905">
        <f t="shared" si="51"/>
        <v>-3.2126996583E-2</v>
      </c>
    </row>
    <row r="906" spans="1:11" x14ac:dyDescent="0.35">
      <c r="A906" t="s">
        <v>203</v>
      </c>
      <c r="B906">
        <v>14593</v>
      </c>
      <c r="C906">
        <v>9.8783999999999997E-2</v>
      </c>
      <c r="D906" s="5">
        <v>4.2802500999999998E-5</v>
      </c>
      <c r="E906">
        <v>2.8492387000000001E-2</v>
      </c>
      <c r="F906">
        <v>3.6559000000000001E-2</v>
      </c>
      <c r="G906" t="s">
        <v>209</v>
      </c>
      <c r="I906">
        <f t="shared" si="49"/>
        <v>9.8741197498999997E-2</v>
      </c>
      <c r="J906">
        <f t="shared" si="50"/>
        <v>2.8449584499000001E-2</v>
      </c>
      <c r="K906">
        <f t="shared" si="51"/>
        <v>3.6516197499000001E-2</v>
      </c>
    </row>
    <row r="908" spans="1:11" x14ac:dyDescent="0.35">
      <c r="A908" t="s">
        <v>23</v>
      </c>
      <c r="B908">
        <v>10107</v>
      </c>
      <c r="C908">
        <v>-1.6466999999999999E-2</v>
      </c>
      <c r="D908" s="5">
        <v>4.7948841000000003E-5</v>
      </c>
      <c r="E908">
        <v>-2.6517817999999999E-2</v>
      </c>
      <c r="F908">
        <v>-3.6073000000000001E-2</v>
      </c>
      <c r="G908" t="s">
        <v>210</v>
      </c>
      <c r="I908">
        <f t="shared" si="49"/>
        <v>-1.6514948841E-2</v>
      </c>
      <c r="J908">
        <f t="shared" si="50"/>
        <v>-2.6565766841E-2</v>
      </c>
      <c r="K908">
        <f t="shared" si="51"/>
        <v>-3.6120948840999999E-2</v>
      </c>
    </row>
    <row r="909" spans="1:11" x14ac:dyDescent="0.35">
      <c r="A909" t="s">
        <v>25</v>
      </c>
      <c r="B909">
        <v>10107</v>
      </c>
      <c r="C909">
        <v>-3.9573999999999998E-2</v>
      </c>
      <c r="D909" s="5">
        <v>5.5244941999999998E-5</v>
      </c>
      <c r="E909">
        <v>2.2697801E-2</v>
      </c>
      <c r="F909">
        <v>3.0790999999999999E-2</v>
      </c>
      <c r="G909" t="s">
        <v>210</v>
      </c>
      <c r="I909">
        <f t="shared" si="49"/>
        <v>-3.9629244942E-2</v>
      </c>
      <c r="J909">
        <f t="shared" si="50"/>
        <v>2.2642556058000002E-2</v>
      </c>
      <c r="K909">
        <f t="shared" si="51"/>
        <v>3.0735755058000001E-2</v>
      </c>
    </row>
    <row r="910" spans="1:11" x14ac:dyDescent="0.35">
      <c r="A910" t="s">
        <v>26</v>
      </c>
      <c r="B910">
        <v>10107</v>
      </c>
      <c r="C910">
        <v>-3.9348000000000001E-2</v>
      </c>
      <c r="D910" s="5">
        <v>6.8319866999999999E-5</v>
      </c>
      <c r="E910">
        <v>-1.6850591000000002E-2</v>
      </c>
      <c r="F910">
        <v>-1.6084999999999999E-2</v>
      </c>
      <c r="G910" t="s">
        <v>210</v>
      </c>
      <c r="I910">
        <f t="shared" si="49"/>
        <v>-3.9416319866999998E-2</v>
      </c>
      <c r="J910">
        <f t="shared" si="50"/>
        <v>-1.6918910867000002E-2</v>
      </c>
      <c r="K910">
        <f t="shared" si="51"/>
        <v>-1.6153319866999999E-2</v>
      </c>
    </row>
    <row r="911" spans="1:11" x14ac:dyDescent="0.35">
      <c r="A911" t="s">
        <v>27</v>
      </c>
      <c r="B911">
        <v>10107</v>
      </c>
      <c r="C911">
        <v>4.6752000000000002E-2</v>
      </c>
      <c r="D911" s="5">
        <v>7.1599496999999996E-5</v>
      </c>
      <c r="E911">
        <v>-2.5221592000000001E-2</v>
      </c>
      <c r="F911">
        <v>1.2377000000000001E-2</v>
      </c>
      <c r="G911" t="s">
        <v>210</v>
      </c>
      <c r="I911">
        <f t="shared" si="49"/>
        <v>4.6680400503E-2</v>
      </c>
      <c r="J911">
        <f t="shared" si="50"/>
        <v>-2.5293191497E-2</v>
      </c>
      <c r="K911">
        <f t="shared" si="51"/>
        <v>1.2305400503E-2</v>
      </c>
    </row>
    <row r="912" spans="1:11" x14ac:dyDescent="0.35">
      <c r="A912" t="s">
        <v>28</v>
      </c>
      <c r="B912">
        <v>10107</v>
      </c>
      <c r="C912">
        <v>2.2925000000000001E-2</v>
      </c>
      <c r="D912" s="5">
        <v>7.3475609999999999E-5</v>
      </c>
      <c r="E912">
        <v>3.7993193000000001E-2</v>
      </c>
      <c r="F912">
        <v>-3.9216000000000001E-2</v>
      </c>
      <c r="G912" t="s">
        <v>210</v>
      </c>
      <c r="I912">
        <f t="shared" si="49"/>
        <v>2.2851524390000003E-2</v>
      </c>
      <c r="J912">
        <f t="shared" si="50"/>
        <v>3.7919717390000003E-2</v>
      </c>
      <c r="K912">
        <f t="shared" si="51"/>
        <v>-3.9289475609999999E-2</v>
      </c>
    </row>
    <row r="913" spans="1:11" x14ac:dyDescent="0.35">
      <c r="A913" t="s">
        <v>29</v>
      </c>
      <c r="B913">
        <v>10107</v>
      </c>
      <c r="C913">
        <v>-3.7208999999999999E-2</v>
      </c>
      <c r="D913" s="5">
        <v>7.5899545000000004E-5</v>
      </c>
      <c r="E913">
        <v>1.1474352E-2</v>
      </c>
      <c r="F913">
        <v>4.2977000000000001E-2</v>
      </c>
      <c r="G913" t="s">
        <v>210</v>
      </c>
      <c r="I913">
        <f t="shared" si="49"/>
        <v>-3.7284899545E-2</v>
      </c>
      <c r="J913">
        <f t="shared" si="50"/>
        <v>1.1398452454999999E-2</v>
      </c>
      <c r="K913">
        <f t="shared" si="51"/>
        <v>4.2901100455000001E-2</v>
      </c>
    </row>
    <row r="914" spans="1:11" x14ac:dyDescent="0.35">
      <c r="A914" t="s">
        <v>30</v>
      </c>
      <c r="B914">
        <v>10107</v>
      </c>
      <c r="C914">
        <v>3.0998000000000001E-2</v>
      </c>
      <c r="D914" s="5">
        <v>8.1133752000000001E-5</v>
      </c>
      <c r="E914">
        <v>4.3326780000000002E-2</v>
      </c>
      <c r="F914">
        <v>-1.4272999999999999E-2</v>
      </c>
      <c r="G914" t="s">
        <v>210</v>
      </c>
      <c r="I914">
        <f t="shared" si="49"/>
        <v>3.0916866248E-2</v>
      </c>
      <c r="J914">
        <f t="shared" si="50"/>
        <v>4.3245646248000001E-2</v>
      </c>
      <c r="K914">
        <f t="shared" si="51"/>
        <v>-1.4354133751999999E-2</v>
      </c>
    </row>
    <row r="915" spans="1:11" x14ac:dyDescent="0.35">
      <c r="A915" t="s">
        <v>31</v>
      </c>
      <c r="B915">
        <v>10107</v>
      </c>
      <c r="C915">
        <v>7.2236999999999996E-2</v>
      </c>
      <c r="D915" s="5">
        <v>8.8369225999999999E-5</v>
      </c>
      <c r="E915">
        <v>-6.0141183999999999E-3</v>
      </c>
      <c r="F915">
        <v>1.3545E-2</v>
      </c>
      <c r="G915" t="s">
        <v>210</v>
      </c>
      <c r="I915">
        <f t="shared" si="49"/>
        <v>7.2148630773999994E-2</v>
      </c>
      <c r="J915">
        <f t="shared" si="50"/>
        <v>-6.1024876260000003E-3</v>
      </c>
      <c r="K915">
        <f t="shared" si="51"/>
        <v>1.3456630774E-2</v>
      </c>
    </row>
    <row r="916" spans="1:11" x14ac:dyDescent="0.35">
      <c r="A916" t="s">
        <v>32</v>
      </c>
      <c r="B916">
        <v>10107</v>
      </c>
      <c r="C916">
        <v>-6.0262999999999997E-2</v>
      </c>
      <c r="D916" s="5">
        <v>9.2246314999999999E-5</v>
      </c>
      <c r="E916">
        <v>1.0593396999999999E-2</v>
      </c>
      <c r="F916">
        <v>7.6036999999999993E-2</v>
      </c>
      <c r="G916" t="s">
        <v>210</v>
      </c>
      <c r="I916">
        <f t="shared" si="49"/>
        <v>-6.0355246315E-2</v>
      </c>
      <c r="J916">
        <f t="shared" si="50"/>
        <v>1.0501150684999998E-2</v>
      </c>
      <c r="K916">
        <f t="shared" si="51"/>
        <v>7.5944753684999991E-2</v>
      </c>
    </row>
    <row r="917" spans="1:11" x14ac:dyDescent="0.35">
      <c r="A917" t="s">
        <v>33</v>
      </c>
      <c r="B917">
        <v>10107</v>
      </c>
      <c r="C917">
        <v>-1.1659999999999999E-3</v>
      </c>
      <c r="D917" s="5">
        <v>8.5793734000000005E-5</v>
      </c>
      <c r="E917">
        <v>-1.3740894999999999E-2</v>
      </c>
      <c r="F917">
        <v>-6.424E-3</v>
      </c>
      <c r="G917" t="s">
        <v>210</v>
      </c>
      <c r="I917">
        <f t="shared" si="49"/>
        <v>-1.2517937339999998E-3</v>
      </c>
      <c r="J917">
        <f t="shared" si="50"/>
        <v>-1.3826688734E-2</v>
      </c>
      <c r="K917">
        <f t="shared" si="51"/>
        <v>-6.5097937340000004E-3</v>
      </c>
    </row>
    <row r="918" spans="1:11" x14ac:dyDescent="0.35">
      <c r="A918" t="s">
        <v>34</v>
      </c>
      <c r="B918">
        <v>10107</v>
      </c>
      <c r="C918">
        <v>8.0156000000000005E-2</v>
      </c>
      <c r="D918" s="5">
        <v>1.0221382E-4</v>
      </c>
      <c r="E918">
        <v>3.4165464E-2</v>
      </c>
      <c r="F918">
        <v>5.8189999999999999E-2</v>
      </c>
      <c r="G918" t="s">
        <v>210</v>
      </c>
      <c r="I918">
        <f t="shared" si="49"/>
        <v>8.0053786180000003E-2</v>
      </c>
      <c r="J918">
        <f t="shared" si="50"/>
        <v>3.4063250179999997E-2</v>
      </c>
      <c r="K918">
        <f t="shared" si="51"/>
        <v>5.8087786179999996E-2</v>
      </c>
    </row>
    <row r="919" spans="1:11" x14ac:dyDescent="0.35">
      <c r="A919" t="s">
        <v>35</v>
      </c>
      <c r="B919">
        <v>10107</v>
      </c>
      <c r="C919">
        <v>-5.5274999999999998E-2</v>
      </c>
      <c r="D919" s="5">
        <v>1.0811459E-4</v>
      </c>
      <c r="E919">
        <v>3.4972754999999999E-3</v>
      </c>
      <c r="F919">
        <v>5.0508999999999998E-2</v>
      </c>
      <c r="G919" t="s">
        <v>210</v>
      </c>
      <c r="I919">
        <f t="shared" si="49"/>
        <v>-5.5383114589999997E-2</v>
      </c>
      <c r="J919">
        <f t="shared" si="50"/>
        <v>3.3891609099999998E-3</v>
      </c>
      <c r="K919">
        <f t="shared" si="51"/>
        <v>5.0400885409999999E-2</v>
      </c>
    </row>
    <row r="920" spans="1:11" x14ac:dyDescent="0.35">
      <c r="A920" t="s">
        <v>36</v>
      </c>
      <c r="B920">
        <v>10107</v>
      </c>
      <c r="C920">
        <v>7.6481999999999994E-2</v>
      </c>
      <c r="D920" s="5">
        <v>1.0946717E-4</v>
      </c>
      <c r="E920">
        <v>4.0057152999999998E-2</v>
      </c>
      <c r="F920">
        <v>9.9263000000000004E-2</v>
      </c>
      <c r="G920" t="s">
        <v>210</v>
      </c>
      <c r="I920">
        <f t="shared" si="49"/>
        <v>7.6372532829999992E-2</v>
      </c>
      <c r="J920">
        <f t="shared" si="50"/>
        <v>3.9947685829999996E-2</v>
      </c>
      <c r="K920">
        <f t="shared" si="51"/>
        <v>9.9153532830000002E-2</v>
      </c>
    </row>
    <row r="921" spans="1:11" x14ac:dyDescent="0.35">
      <c r="A921" t="s">
        <v>37</v>
      </c>
      <c r="B921">
        <v>10107</v>
      </c>
      <c r="C921">
        <v>-4.2272999999999998E-2</v>
      </c>
      <c r="D921" s="5">
        <v>1.1473459E-4</v>
      </c>
      <c r="E921">
        <v>-1.6283552E-3</v>
      </c>
      <c r="F921">
        <v>-1.1110999999999999E-2</v>
      </c>
      <c r="G921" t="s">
        <v>210</v>
      </c>
      <c r="I921">
        <f t="shared" si="49"/>
        <v>-4.2387734589999997E-2</v>
      </c>
      <c r="J921">
        <f t="shared" si="50"/>
        <v>-1.7430897900000001E-3</v>
      </c>
      <c r="K921">
        <f t="shared" si="51"/>
        <v>-1.122573459E-2</v>
      </c>
    </row>
    <row r="922" spans="1:11" x14ac:dyDescent="0.35">
      <c r="A922" t="s">
        <v>38</v>
      </c>
      <c r="B922">
        <v>10107</v>
      </c>
      <c r="C922">
        <v>1.2652999999999999E-2</v>
      </c>
      <c r="D922" s="5">
        <v>1.2225505E-4</v>
      </c>
      <c r="E922">
        <v>1.8970178000000001E-2</v>
      </c>
      <c r="F922">
        <v>3.6205000000000001E-2</v>
      </c>
      <c r="G922" t="s">
        <v>210</v>
      </c>
      <c r="I922">
        <f t="shared" si="49"/>
        <v>1.2530744949999999E-2</v>
      </c>
      <c r="J922">
        <f t="shared" si="50"/>
        <v>1.8847922950000002E-2</v>
      </c>
      <c r="K922">
        <f t="shared" si="51"/>
        <v>3.6082744950000002E-2</v>
      </c>
    </row>
    <row r="923" spans="1:11" x14ac:dyDescent="0.35">
      <c r="A923" t="s">
        <v>39</v>
      </c>
      <c r="B923">
        <v>10107</v>
      </c>
      <c r="C923">
        <v>-0.112459</v>
      </c>
      <c r="D923" s="5">
        <v>1.2702313E-4</v>
      </c>
      <c r="E923">
        <v>1.3077589000000001E-2</v>
      </c>
      <c r="F923">
        <v>0.12031</v>
      </c>
      <c r="G923" t="s">
        <v>210</v>
      </c>
      <c r="I923">
        <f t="shared" si="49"/>
        <v>-0.11258602313</v>
      </c>
      <c r="J923">
        <f t="shared" si="50"/>
        <v>1.295056587E-2</v>
      </c>
      <c r="K923">
        <f t="shared" si="51"/>
        <v>0.12018297687</v>
      </c>
    </row>
    <row r="924" spans="1:11" x14ac:dyDescent="0.35">
      <c r="A924" t="s">
        <v>40</v>
      </c>
      <c r="B924">
        <v>10107</v>
      </c>
      <c r="C924">
        <v>-5.8384999999999999E-2</v>
      </c>
      <c r="D924" s="5">
        <v>1.2549012999999999E-4</v>
      </c>
      <c r="E924">
        <v>-3.10251E-2</v>
      </c>
      <c r="F924">
        <v>-1.3212E-2</v>
      </c>
      <c r="G924" t="s">
        <v>210</v>
      </c>
      <c r="I924">
        <f t="shared" si="49"/>
        <v>-5.8510490130000002E-2</v>
      </c>
      <c r="J924">
        <f t="shared" si="50"/>
        <v>-3.1150590129999999E-2</v>
      </c>
      <c r="K924">
        <f t="shared" si="51"/>
        <v>-1.3337490129999999E-2</v>
      </c>
    </row>
    <row r="925" spans="1:11" x14ac:dyDescent="0.35">
      <c r="A925" t="s">
        <v>41</v>
      </c>
      <c r="B925">
        <v>10107</v>
      </c>
      <c r="C925">
        <v>2.8698000000000001E-2</v>
      </c>
      <c r="D925" s="5">
        <v>1.2976839000000001E-4</v>
      </c>
      <c r="E925">
        <v>-3.1822989999999999E-4</v>
      </c>
      <c r="F925">
        <v>-4.6706999999999999E-2</v>
      </c>
      <c r="G925" t="s">
        <v>210</v>
      </c>
      <c r="I925">
        <f t="shared" si="49"/>
        <v>2.8568231610000001E-2</v>
      </c>
      <c r="J925">
        <f t="shared" si="50"/>
        <v>-4.4799829E-4</v>
      </c>
      <c r="K925">
        <f t="shared" si="51"/>
        <v>-4.6836768389999998E-2</v>
      </c>
    </row>
    <row r="926" spans="1:11" x14ac:dyDescent="0.35">
      <c r="A926" t="s">
        <v>42</v>
      </c>
      <c r="B926">
        <v>10107</v>
      </c>
      <c r="C926">
        <v>3.2618000000000001E-2</v>
      </c>
      <c r="D926" s="5">
        <v>1.2228312999999999E-4</v>
      </c>
      <c r="E926">
        <v>-9.6833464000000008E-3</v>
      </c>
      <c r="F926">
        <v>3.1521E-2</v>
      </c>
      <c r="G926" t="s">
        <v>210</v>
      </c>
      <c r="I926">
        <f t="shared" si="49"/>
        <v>3.2495716870000003E-2</v>
      </c>
      <c r="J926">
        <f t="shared" si="50"/>
        <v>-9.8056295300000002E-3</v>
      </c>
      <c r="K926">
        <f t="shared" si="51"/>
        <v>3.1398716870000003E-2</v>
      </c>
    </row>
    <row r="927" spans="1:11" x14ac:dyDescent="0.35">
      <c r="A927" t="s">
        <v>43</v>
      </c>
      <c r="B927">
        <v>10107</v>
      </c>
      <c r="C927">
        <v>7.1903999999999996E-2</v>
      </c>
      <c r="D927" s="5">
        <v>1.3703064E-4</v>
      </c>
      <c r="E927">
        <v>2.5151808000000001E-2</v>
      </c>
      <c r="F927">
        <v>-1.3775000000000001E-2</v>
      </c>
      <c r="G927" t="s">
        <v>210</v>
      </c>
      <c r="I927">
        <f t="shared" si="49"/>
        <v>7.1766969360000002E-2</v>
      </c>
      <c r="J927">
        <f t="shared" si="50"/>
        <v>2.501477736E-2</v>
      </c>
      <c r="K927">
        <f t="shared" si="51"/>
        <v>-1.3912030640000001E-2</v>
      </c>
    </row>
    <row r="928" spans="1:11" x14ac:dyDescent="0.35">
      <c r="A928" t="s">
        <v>44</v>
      </c>
      <c r="B928">
        <v>10107</v>
      </c>
      <c r="C928">
        <v>6.4201999999999995E-2</v>
      </c>
      <c r="D928" s="5">
        <v>1.3985681000000001E-4</v>
      </c>
      <c r="E928">
        <v>1.9410975E-2</v>
      </c>
      <c r="F928">
        <v>-4.5272E-2</v>
      </c>
      <c r="G928" t="s">
        <v>210</v>
      </c>
      <c r="I928">
        <f t="shared" si="49"/>
        <v>6.406214318999999E-2</v>
      </c>
      <c r="J928">
        <f t="shared" si="50"/>
        <v>1.9271118190000002E-2</v>
      </c>
      <c r="K928">
        <f t="shared" si="51"/>
        <v>-4.5411856809999998E-2</v>
      </c>
    </row>
    <row r="929" spans="1:11" x14ac:dyDescent="0.35">
      <c r="A929" t="s">
        <v>45</v>
      </c>
      <c r="B929">
        <v>10107</v>
      </c>
      <c r="C929">
        <v>4.9725999999999999E-2</v>
      </c>
      <c r="D929" s="5">
        <v>1.2507204999999999E-4</v>
      </c>
      <c r="E929">
        <v>3.4900713999999999E-2</v>
      </c>
      <c r="F929">
        <v>1.2947999999999999E-2</v>
      </c>
      <c r="G929" t="s">
        <v>210</v>
      </c>
      <c r="I929">
        <f t="shared" si="49"/>
        <v>4.9600927949999998E-2</v>
      </c>
      <c r="J929">
        <f t="shared" si="50"/>
        <v>3.4775641949999998E-2</v>
      </c>
      <c r="K929">
        <f t="shared" si="51"/>
        <v>1.282292795E-2</v>
      </c>
    </row>
    <row r="930" spans="1:11" x14ac:dyDescent="0.35">
      <c r="A930" t="s">
        <v>46</v>
      </c>
      <c r="B930">
        <v>10107</v>
      </c>
      <c r="C930">
        <v>2.6123E-2</v>
      </c>
      <c r="D930" s="5">
        <v>1.4148996E-4</v>
      </c>
      <c r="E930">
        <v>2.5525862E-2</v>
      </c>
      <c r="F930">
        <v>6.8890999999999994E-2</v>
      </c>
      <c r="G930" t="s">
        <v>210</v>
      </c>
      <c r="I930">
        <f t="shared" si="49"/>
        <v>2.5981510039999999E-2</v>
      </c>
      <c r="J930">
        <f t="shared" si="50"/>
        <v>2.5384372039999999E-2</v>
      </c>
      <c r="K930">
        <f t="shared" si="51"/>
        <v>6.8749510039999989E-2</v>
      </c>
    </row>
    <row r="931" spans="1:11" x14ac:dyDescent="0.35">
      <c r="A931" t="s">
        <v>47</v>
      </c>
      <c r="B931">
        <v>10107</v>
      </c>
      <c r="C931">
        <v>1.703E-2</v>
      </c>
      <c r="D931" s="5">
        <v>1.4320338999999999E-4</v>
      </c>
      <c r="E931">
        <v>1.0861081E-2</v>
      </c>
      <c r="F931">
        <v>-1.8325999999999999E-2</v>
      </c>
      <c r="G931" t="s">
        <v>210</v>
      </c>
      <c r="I931">
        <f t="shared" si="49"/>
        <v>1.6886796610000001E-2</v>
      </c>
      <c r="J931">
        <f t="shared" si="50"/>
        <v>1.0717877609999999E-2</v>
      </c>
      <c r="K931">
        <f t="shared" si="51"/>
        <v>-1.8469203389999998E-2</v>
      </c>
    </row>
    <row r="932" spans="1:11" x14ac:dyDescent="0.35">
      <c r="A932" t="s">
        <v>48</v>
      </c>
      <c r="B932">
        <v>10107</v>
      </c>
      <c r="C932">
        <v>3.3489999999999999E-2</v>
      </c>
      <c r="D932" s="5">
        <v>1.2932273999999999E-4</v>
      </c>
      <c r="E932">
        <v>1.9592070999999999E-2</v>
      </c>
      <c r="F932">
        <v>2.5628999999999999E-2</v>
      </c>
      <c r="G932" t="s">
        <v>210</v>
      </c>
      <c r="I932">
        <f t="shared" si="49"/>
        <v>3.3360677259999999E-2</v>
      </c>
      <c r="J932">
        <f t="shared" si="50"/>
        <v>1.9462748259999999E-2</v>
      </c>
      <c r="K932">
        <f t="shared" si="51"/>
        <v>2.5499677259999999E-2</v>
      </c>
    </row>
    <row r="933" spans="1:11" x14ac:dyDescent="0.35">
      <c r="A933" t="s">
        <v>49</v>
      </c>
      <c r="B933">
        <v>10107</v>
      </c>
      <c r="C933">
        <v>-8.3927000000000002E-2</v>
      </c>
      <c r="D933" s="5">
        <v>1.3506156E-4</v>
      </c>
      <c r="E933">
        <v>-1.4020795000000001E-2</v>
      </c>
      <c r="F933">
        <v>2.5451000000000001E-2</v>
      </c>
      <c r="G933" t="s">
        <v>210</v>
      </c>
      <c r="I933">
        <f t="shared" si="49"/>
        <v>-8.4062061559999998E-2</v>
      </c>
      <c r="J933">
        <f t="shared" si="50"/>
        <v>-1.4155856560000001E-2</v>
      </c>
      <c r="K933">
        <f t="shared" si="51"/>
        <v>2.5315938440000001E-2</v>
      </c>
    </row>
    <row r="934" spans="1:11" x14ac:dyDescent="0.35">
      <c r="A934" t="s">
        <v>50</v>
      </c>
      <c r="B934">
        <v>10107</v>
      </c>
      <c r="C934">
        <v>-1.065E-2</v>
      </c>
      <c r="D934" s="5">
        <v>1.4202721999999999E-4</v>
      </c>
      <c r="E934">
        <v>1.2952416E-2</v>
      </c>
      <c r="F934">
        <v>-1.1131E-2</v>
      </c>
      <c r="G934" t="s">
        <v>210</v>
      </c>
      <c r="I934">
        <f t="shared" si="49"/>
        <v>-1.079202722E-2</v>
      </c>
      <c r="J934">
        <f t="shared" si="50"/>
        <v>1.2810388779999999E-2</v>
      </c>
      <c r="K934">
        <f t="shared" si="51"/>
        <v>-1.1273027220000001E-2</v>
      </c>
    </row>
    <row r="935" spans="1:11" x14ac:dyDescent="0.35">
      <c r="A935" t="s">
        <v>51</v>
      </c>
      <c r="B935">
        <v>10107</v>
      </c>
      <c r="C935">
        <v>7.4273000000000006E-2</v>
      </c>
      <c r="D935" s="5">
        <v>1.3845289999999999E-4</v>
      </c>
      <c r="E935">
        <v>3.9758044999999999E-2</v>
      </c>
      <c r="F935">
        <v>2.0535000000000001E-2</v>
      </c>
      <c r="G935" t="s">
        <v>210</v>
      </c>
      <c r="I935">
        <f t="shared" si="49"/>
        <v>7.4134547100000003E-2</v>
      </c>
      <c r="J935">
        <f t="shared" si="50"/>
        <v>3.9619592099999996E-2</v>
      </c>
      <c r="K935">
        <f t="shared" si="51"/>
        <v>2.0396547100000002E-2</v>
      </c>
    </row>
    <row r="936" spans="1:11" x14ac:dyDescent="0.35">
      <c r="A936" t="s">
        <v>52</v>
      </c>
      <c r="B936">
        <v>10107</v>
      </c>
      <c r="C936">
        <v>2.8393000000000002E-2</v>
      </c>
      <c r="D936" s="5">
        <v>1.3034255E-4</v>
      </c>
      <c r="E936">
        <v>3.8909490999999997E-2</v>
      </c>
      <c r="F936">
        <v>-2.3102999999999999E-2</v>
      </c>
      <c r="G936" t="s">
        <v>210</v>
      </c>
      <c r="I936">
        <f t="shared" si="49"/>
        <v>2.8262657450000003E-2</v>
      </c>
      <c r="J936">
        <f t="shared" si="50"/>
        <v>3.8779148449999995E-2</v>
      </c>
      <c r="K936">
        <f t="shared" si="51"/>
        <v>-2.3233342549999998E-2</v>
      </c>
    </row>
    <row r="937" spans="1:11" x14ac:dyDescent="0.35">
      <c r="A937" t="s">
        <v>53</v>
      </c>
      <c r="B937">
        <v>10107</v>
      </c>
      <c r="C937">
        <v>-3.9756E-2</v>
      </c>
      <c r="D937" s="5">
        <v>1.3037657E-4</v>
      </c>
      <c r="E937">
        <v>-1.4821285E-2</v>
      </c>
      <c r="F937">
        <v>-1.9377999999999999E-2</v>
      </c>
      <c r="G937" t="s">
        <v>210</v>
      </c>
      <c r="I937">
        <f t="shared" si="49"/>
        <v>-3.988637657E-2</v>
      </c>
      <c r="J937">
        <f t="shared" si="50"/>
        <v>-1.495166157E-2</v>
      </c>
      <c r="K937">
        <f t="shared" si="51"/>
        <v>-1.9508376569999999E-2</v>
      </c>
    </row>
    <row r="938" spans="1:11" x14ac:dyDescent="0.35">
      <c r="A938" t="s">
        <v>54</v>
      </c>
      <c r="B938">
        <v>10107</v>
      </c>
      <c r="C938">
        <v>-1.6288E-2</v>
      </c>
      <c r="D938" s="5">
        <v>1.1670869E-4</v>
      </c>
      <c r="E938">
        <v>-3.1721417000000002E-2</v>
      </c>
      <c r="F938">
        <v>2.3650000000000001E-2</v>
      </c>
      <c r="G938" t="s">
        <v>210</v>
      </c>
      <c r="I938">
        <f t="shared" si="49"/>
        <v>-1.6404708690000002E-2</v>
      </c>
      <c r="J938">
        <f t="shared" si="50"/>
        <v>-3.1838125690000003E-2</v>
      </c>
      <c r="K938">
        <f t="shared" si="51"/>
        <v>2.3533291309999999E-2</v>
      </c>
    </row>
    <row r="939" spans="1:11" x14ac:dyDescent="0.35">
      <c r="A939" t="s">
        <v>55</v>
      </c>
      <c r="B939">
        <v>10107</v>
      </c>
      <c r="C939">
        <v>-5.5189999999999996E-3</v>
      </c>
      <c r="D939" s="5">
        <v>1.3702123999999999E-4</v>
      </c>
      <c r="E939">
        <v>1.169362E-2</v>
      </c>
      <c r="F939">
        <v>1.1096E-2</v>
      </c>
      <c r="G939" t="s">
        <v>210</v>
      </c>
      <c r="I939">
        <f t="shared" si="49"/>
        <v>-5.6560212399999997E-3</v>
      </c>
      <c r="J939">
        <f t="shared" si="50"/>
        <v>1.155659876E-2</v>
      </c>
      <c r="K939">
        <f t="shared" si="51"/>
        <v>1.095897876E-2</v>
      </c>
    </row>
    <row r="940" spans="1:11" x14ac:dyDescent="0.35">
      <c r="A940" t="s">
        <v>56</v>
      </c>
      <c r="B940">
        <v>10107</v>
      </c>
      <c r="C940">
        <v>2.5409000000000001E-2</v>
      </c>
      <c r="D940" s="5">
        <v>1.1455195999999999E-4</v>
      </c>
      <c r="E940">
        <v>4.0834490000000001E-2</v>
      </c>
      <c r="F940">
        <v>0.10508099999999999</v>
      </c>
      <c r="G940" t="s">
        <v>210</v>
      </c>
      <c r="I940">
        <f t="shared" si="49"/>
        <v>2.529444804E-2</v>
      </c>
      <c r="J940">
        <f t="shared" si="50"/>
        <v>4.0719938040000001E-2</v>
      </c>
      <c r="K940">
        <f t="shared" si="51"/>
        <v>0.10496644803999999</v>
      </c>
    </row>
    <row r="941" spans="1:11" x14ac:dyDescent="0.35">
      <c r="A941" t="s">
        <v>57</v>
      </c>
      <c r="B941">
        <v>10107</v>
      </c>
      <c r="C941">
        <v>0.24949099999999999</v>
      </c>
      <c r="D941" s="5">
        <v>9.2476468E-5</v>
      </c>
      <c r="E941">
        <v>2.8808464999999998E-2</v>
      </c>
      <c r="F941">
        <v>6.9514000000000006E-2</v>
      </c>
      <c r="G941" t="s">
        <v>210</v>
      </c>
      <c r="I941">
        <f t="shared" si="49"/>
        <v>0.24939852353199998</v>
      </c>
      <c r="J941">
        <f t="shared" si="50"/>
        <v>2.8715988531999997E-2</v>
      </c>
      <c r="K941">
        <f t="shared" si="51"/>
        <v>6.9421523532000012E-2</v>
      </c>
    </row>
    <row r="942" spans="1:11" x14ac:dyDescent="0.35">
      <c r="A942" t="s">
        <v>58</v>
      </c>
      <c r="B942">
        <v>10107</v>
      </c>
      <c r="C942">
        <v>-8.4215999999999999E-2</v>
      </c>
      <c r="D942" s="5">
        <v>1.066585E-4</v>
      </c>
      <c r="E942">
        <v>-3.5230382999999997E-2</v>
      </c>
      <c r="F942">
        <v>-1.6535000000000001E-2</v>
      </c>
      <c r="G942" t="s">
        <v>210</v>
      </c>
      <c r="I942">
        <f t="shared" si="49"/>
        <v>-8.4322658499999995E-2</v>
      </c>
      <c r="J942">
        <f t="shared" si="50"/>
        <v>-3.5337041499999999E-2</v>
      </c>
      <c r="K942">
        <f t="shared" si="51"/>
        <v>-1.66416585E-2</v>
      </c>
    </row>
    <row r="943" spans="1:11" x14ac:dyDescent="0.35">
      <c r="A943" t="s">
        <v>59</v>
      </c>
      <c r="B943">
        <v>10107</v>
      </c>
      <c r="C943">
        <v>5.9524000000000001E-2</v>
      </c>
      <c r="D943" s="5">
        <v>1.0027451E-4</v>
      </c>
      <c r="E943">
        <v>-4.3625202999999996E-3</v>
      </c>
      <c r="F943">
        <v>6.6476999999999994E-2</v>
      </c>
      <c r="G943" t="s">
        <v>210</v>
      </c>
      <c r="I943">
        <f t="shared" si="49"/>
        <v>5.9423725490000003E-2</v>
      </c>
      <c r="J943">
        <f t="shared" si="50"/>
        <v>-4.4627948099999993E-3</v>
      </c>
      <c r="K943">
        <f t="shared" si="51"/>
        <v>6.6376725489999996E-2</v>
      </c>
    </row>
    <row r="944" spans="1:11" x14ac:dyDescent="0.35">
      <c r="A944" t="s">
        <v>60</v>
      </c>
      <c r="B944">
        <v>10107</v>
      </c>
      <c r="C944">
        <v>-8.4269999999999998E-2</v>
      </c>
      <c r="D944" s="5">
        <v>7.2702277999999997E-5</v>
      </c>
      <c r="E944">
        <v>-6.2072418999999997E-2</v>
      </c>
      <c r="F944">
        <v>0.108416</v>
      </c>
      <c r="G944" t="s">
        <v>210</v>
      </c>
      <c r="I944">
        <f t="shared" si="49"/>
        <v>-8.4342702278000004E-2</v>
      </c>
      <c r="J944">
        <f t="shared" si="50"/>
        <v>-6.2145121277999996E-2</v>
      </c>
      <c r="K944">
        <f t="shared" si="51"/>
        <v>0.10834329772199999</v>
      </c>
    </row>
    <row r="945" spans="1:11" x14ac:dyDescent="0.35">
      <c r="A945" t="s">
        <v>61</v>
      </c>
      <c r="B945">
        <v>10107</v>
      </c>
      <c r="C945">
        <v>-0.162273</v>
      </c>
      <c r="D945" s="5">
        <v>4.3220585000000003E-5</v>
      </c>
      <c r="E945">
        <v>-2.1622278000000002E-2</v>
      </c>
      <c r="F945">
        <v>5.2297999999999997E-2</v>
      </c>
      <c r="G945" t="s">
        <v>210</v>
      </c>
      <c r="I945">
        <f t="shared" si="49"/>
        <v>-0.162316220585</v>
      </c>
      <c r="J945">
        <f t="shared" si="50"/>
        <v>-2.1665498585000002E-2</v>
      </c>
      <c r="K945">
        <f t="shared" si="51"/>
        <v>5.2254779414999994E-2</v>
      </c>
    </row>
    <row r="946" spans="1:11" x14ac:dyDescent="0.35">
      <c r="A946" t="s">
        <v>62</v>
      </c>
      <c r="B946">
        <v>10107</v>
      </c>
      <c r="C946">
        <v>4.3386000000000001E-2</v>
      </c>
      <c r="D946" s="5">
        <v>5.6849163000000003E-5</v>
      </c>
      <c r="E946">
        <v>-1.0335677999999999E-2</v>
      </c>
      <c r="F946">
        <v>-5.9991999999999997E-2</v>
      </c>
      <c r="G946" t="s">
        <v>210</v>
      </c>
      <c r="I946">
        <f t="shared" si="49"/>
        <v>4.3329150837000001E-2</v>
      </c>
      <c r="J946">
        <f t="shared" si="50"/>
        <v>-1.0392527162999999E-2</v>
      </c>
      <c r="K946">
        <f t="shared" si="51"/>
        <v>-6.0048849162999997E-2</v>
      </c>
    </row>
    <row r="947" spans="1:11" x14ac:dyDescent="0.35">
      <c r="A947" t="s">
        <v>63</v>
      </c>
      <c r="B947">
        <v>10107</v>
      </c>
      <c r="C947">
        <v>4.9329999999999999E-3</v>
      </c>
      <c r="D947" s="5">
        <v>3.2929674E-5</v>
      </c>
      <c r="E947">
        <v>5.1065567999999999E-2</v>
      </c>
      <c r="F947">
        <v>-4.1588E-2</v>
      </c>
      <c r="G947" t="s">
        <v>210</v>
      </c>
      <c r="I947">
        <f t="shared" si="49"/>
        <v>4.9000703259999999E-3</v>
      </c>
      <c r="J947">
        <f t="shared" si="50"/>
        <v>5.1032638325999996E-2</v>
      </c>
      <c r="K947">
        <f t="shared" si="51"/>
        <v>-4.1620929674000003E-2</v>
      </c>
    </row>
    <row r="948" spans="1:11" x14ac:dyDescent="0.35">
      <c r="A948" t="s">
        <v>64</v>
      </c>
      <c r="B948">
        <v>10107</v>
      </c>
      <c r="C948">
        <v>-3.156E-3</v>
      </c>
      <c r="D948" s="5">
        <v>2.903705E-5</v>
      </c>
      <c r="E948">
        <v>2.3818125999999998E-2</v>
      </c>
      <c r="F948">
        <v>9.2320000000000006E-3</v>
      </c>
      <c r="G948" t="s">
        <v>210</v>
      </c>
      <c r="I948">
        <f t="shared" si="49"/>
        <v>-3.1850370499999997E-3</v>
      </c>
      <c r="J948">
        <f t="shared" si="50"/>
        <v>2.3789088949999999E-2</v>
      </c>
      <c r="K948">
        <f t="shared" si="51"/>
        <v>9.2029629500000008E-3</v>
      </c>
    </row>
    <row r="949" spans="1:11" x14ac:dyDescent="0.35">
      <c r="A949" t="s">
        <v>65</v>
      </c>
      <c r="B949">
        <v>10107</v>
      </c>
      <c r="C949">
        <v>-2.8601999999999999E-2</v>
      </c>
      <c r="D949" s="5">
        <v>5.4623592999999997E-5</v>
      </c>
      <c r="E949">
        <v>-7.8533299000000001E-2</v>
      </c>
      <c r="F949">
        <v>4.5169000000000001E-2</v>
      </c>
      <c r="G949" t="s">
        <v>210</v>
      </c>
      <c r="I949">
        <f t="shared" si="49"/>
        <v>-2.8656623592999999E-2</v>
      </c>
      <c r="J949">
        <f t="shared" si="50"/>
        <v>-7.8587922593000001E-2</v>
      </c>
      <c r="K949">
        <f t="shared" si="51"/>
        <v>4.5114376407000001E-2</v>
      </c>
    </row>
    <row r="950" spans="1:11" x14ac:dyDescent="0.35">
      <c r="A950" t="s">
        <v>66</v>
      </c>
      <c r="B950">
        <v>10107</v>
      </c>
      <c r="C950">
        <v>-6.5067E-2</v>
      </c>
      <c r="D950" s="5">
        <v>4.1826541000000002E-5</v>
      </c>
      <c r="E950">
        <v>-1.3053237000000001E-2</v>
      </c>
      <c r="F950">
        <v>-1.4442E-2</v>
      </c>
      <c r="G950" t="s">
        <v>210</v>
      </c>
      <c r="I950">
        <f t="shared" si="49"/>
        <v>-6.5108826541000003E-2</v>
      </c>
      <c r="J950">
        <f t="shared" si="50"/>
        <v>-1.3095063541000001E-2</v>
      </c>
      <c r="K950">
        <f t="shared" si="51"/>
        <v>-1.4483826541E-2</v>
      </c>
    </row>
    <row r="951" spans="1:11" x14ac:dyDescent="0.35">
      <c r="A951" t="s">
        <v>67</v>
      </c>
      <c r="B951">
        <v>10107</v>
      </c>
      <c r="C951">
        <v>6.5319000000000002E-2</v>
      </c>
      <c r="D951" s="5">
        <v>4.1830043999999998E-5</v>
      </c>
      <c r="E951">
        <v>1.0535574000000001E-2</v>
      </c>
      <c r="F951">
        <v>-9.2917E-2</v>
      </c>
      <c r="G951" t="s">
        <v>210</v>
      </c>
      <c r="I951">
        <f t="shared" si="49"/>
        <v>6.5277169955999997E-2</v>
      </c>
      <c r="J951">
        <f t="shared" si="50"/>
        <v>1.0493743956000001E-2</v>
      </c>
      <c r="K951">
        <f t="shared" si="51"/>
        <v>-9.2958830044000004E-2</v>
      </c>
    </row>
    <row r="952" spans="1:11" x14ac:dyDescent="0.35">
      <c r="A952" t="s">
        <v>68</v>
      </c>
      <c r="B952">
        <v>10107</v>
      </c>
      <c r="C952">
        <v>-2.1985999999999999E-2</v>
      </c>
      <c r="D952" s="5">
        <v>4.4332078999999998E-5</v>
      </c>
      <c r="E952">
        <v>-9.8912783000000004E-2</v>
      </c>
      <c r="F952">
        <v>4.1120999999999998E-2</v>
      </c>
      <c r="G952" t="s">
        <v>210</v>
      </c>
      <c r="I952">
        <f t="shared" si="49"/>
        <v>-2.2030332078999997E-2</v>
      </c>
      <c r="J952">
        <f t="shared" si="50"/>
        <v>-9.8957115078999999E-2</v>
      </c>
      <c r="K952">
        <f t="shared" si="51"/>
        <v>4.1076667920999996E-2</v>
      </c>
    </row>
    <row r="953" spans="1:11" x14ac:dyDescent="0.35">
      <c r="A953" t="s">
        <v>69</v>
      </c>
      <c r="B953">
        <v>10107</v>
      </c>
      <c r="C953">
        <v>-0.163357</v>
      </c>
      <c r="D953" s="5">
        <v>1.54194E-5</v>
      </c>
      <c r="E953">
        <v>-0.26823696000000002</v>
      </c>
      <c r="F953">
        <v>-0.16139700000000001</v>
      </c>
      <c r="G953" t="s">
        <v>210</v>
      </c>
      <c r="I953">
        <f t="shared" si="49"/>
        <v>-0.1633724194</v>
      </c>
      <c r="J953">
        <f t="shared" si="50"/>
        <v>-0.26825237940000002</v>
      </c>
      <c r="K953">
        <f t="shared" si="51"/>
        <v>-0.16141241940000001</v>
      </c>
    </row>
    <row r="954" spans="1:11" x14ac:dyDescent="0.35">
      <c r="A954" t="s">
        <v>70</v>
      </c>
      <c r="B954">
        <v>10107</v>
      </c>
      <c r="C954">
        <v>-8.8669999999999999E-2</v>
      </c>
      <c r="D954" s="5">
        <v>3.4029399E-6</v>
      </c>
      <c r="E954">
        <v>-6.0760938E-2</v>
      </c>
      <c r="F954">
        <v>0.12573599999999999</v>
      </c>
      <c r="G954" t="s">
        <v>210</v>
      </c>
      <c r="I954">
        <f t="shared" si="49"/>
        <v>-8.8673402939900003E-2</v>
      </c>
      <c r="J954">
        <f t="shared" si="50"/>
        <v>-6.0764340939899998E-2</v>
      </c>
      <c r="K954">
        <f t="shared" si="51"/>
        <v>0.12573259706009998</v>
      </c>
    </row>
    <row r="955" spans="1:11" x14ac:dyDescent="0.35">
      <c r="A955" t="s">
        <v>71</v>
      </c>
      <c r="B955">
        <v>10107</v>
      </c>
      <c r="C955">
        <v>-3.8575999999999999E-2</v>
      </c>
      <c r="D955" s="5">
        <v>9.7223551000000005E-7</v>
      </c>
      <c r="E955">
        <v>2.2324005000000001E-2</v>
      </c>
      <c r="F955">
        <v>7.7325000000000005E-2</v>
      </c>
      <c r="G955" t="s">
        <v>210</v>
      </c>
      <c r="I955">
        <f t="shared" si="49"/>
        <v>-3.8576972235510001E-2</v>
      </c>
      <c r="J955">
        <f t="shared" si="50"/>
        <v>2.2323032764490002E-2</v>
      </c>
      <c r="K955">
        <f t="shared" si="51"/>
        <v>7.7324027764490003E-2</v>
      </c>
    </row>
    <row r="956" spans="1:11" x14ac:dyDescent="0.35">
      <c r="A956" t="s">
        <v>72</v>
      </c>
      <c r="B956">
        <v>10107</v>
      </c>
      <c r="C956">
        <v>-0.12037</v>
      </c>
      <c r="D956" s="5">
        <v>4.1666856999999999E-7</v>
      </c>
      <c r="E956">
        <v>-7.8490331999999996E-2</v>
      </c>
      <c r="F956">
        <v>5.5363000000000002E-2</v>
      </c>
      <c r="G956" t="s">
        <v>210</v>
      </c>
      <c r="I956">
        <f t="shared" si="49"/>
        <v>-0.12037041666857</v>
      </c>
      <c r="J956">
        <f t="shared" si="50"/>
        <v>-7.849074866856999E-2</v>
      </c>
      <c r="K956">
        <f t="shared" si="51"/>
        <v>5.5362583331430001E-2</v>
      </c>
    </row>
    <row r="957" spans="1:11" x14ac:dyDescent="0.35">
      <c r="A957" t="s">
        <v>73</v>
      </c>
      <c r="B957">
        <v>10107</v>
      </c>
      <c r="C957">
        <v>-4.7953000000000003E-2</v>
      </c>
      <c r="D957" s="5">
        <v>4.1669009000000002E-6</v>
      </c>
      <c r="E957">
        <v>-0.10050758</v>
      </c>
      <c r="F957">
        <v>1.4456E-2</v>
      </c>
      <c r="G957" t="s">
        <v>210</v>
      </c>
      <c r="I957">
        <f t="shared" ref="I957:I1020" si="52">C957-D957</f>
        <v>-4.7957166900900003E-2</v>
      </c>
      <c r="J957">
        <f t="shared" ref="J957:J1020" si="53">E957-D957</f>
        <v>-0.10051174690089999</v>
      </c>
      <c r="K957">
        <f t="shared" ref="K957:K1020" si="54">F957-D957</f>
        <v>1.44518330991E-2</v>
      </c>
    </row>
    <row r="958" spans="1:11" x14ac:dyDescent="0.35">
      <c r="A958" t="s">
        <v>74</v>
      </c>
      <c r="B958">
        <v>10107</v>
      </c>
      <c r="C958">
        <v>0.137461</v>
      </c>
      <c r="D958" s="5">
        <v>4.4447111E-6</v>
      </c>
      <c r="E958">
        <v>8.7015814999999996E-2</v>
      </c>
      <c r="F958">
        <v>-2.537E-2</v>
      </c>
      <c r="G958" t="s">
        <v>210</v>
      </c>
      <c r="I958">
        <f t="shared" si="52"/>
        <v>0.1374565552889</v>
      </c>
      <c r="J958">
        <f t="shared" si="53"/>
        <v>8.7011370288899992E-2</v>
      </c>
      <c r="K958">
        <f t="shared" si="54"/>
        <v>-2.5374444711100001E-2</v>
      </c>
    </row>
    <row r="959" spans="1:11" x14ac:dyDescent="0.35">
      <c r="A959" t="s">
        <v>75</v>
      </c>
      <c r="B959">
        <v>10107</v>
      </c>
      <c r="C959">
        <v>0.102885</v>
      </c>
      <c r="D959" s="5">
        <v>3.7501618E-6</v>
      </c>
      <c r="E959">
        <v>0.10942493</v>
      </c>
      <c r="F959">
        <v>-3.3341000000000003E-2</v>
      </c>
      <c r="G959" t="s">
        <v>210</v>
      </c>
      <c r="I959">
        <f t="shared" si="52"/>
        <v>0.1028812498382</v>
      </c>
      <c r="J959">
        <f t="shared" si="53"/>
        <v>0.1094211798382</v>
      </c>
      <c r="K959">
        <f t="shared" si="54"/>
        <v>-3.3344750161800003E-2</v>
      </c>
    </row>
    <row r="960" spans="1:11" x14ac:dyDescent="0.35">
      <c r="A960" t="s">
        <v>76</v>
      </c>
      <c r="B960">
        <v>10107</v>
      </c>
      <c r="C960">
        <v>3.7511999999999997E-2</v>
      </c>
      <c r="D960" s="5">
        <v>1.2500218999999999E-6</v>
      </c>
      <c r="E960">
        <v>6.7855342999999999E-2</v>
      </c>
      <c r="F960">
        <v>0.102326</v>
      </c>
      <c r="G960" t="s">
        <v>210</v>
      </c>
      <c r="I960">
        <f t="shared" si="52"/>
        <v>3.75107499781E-2</v>
      </c>
      <c r="J960">
        <f t="shared" si="53"/>
        <v>6.7854092978099995E-2</v>
      </c>
      <c r="K960">
        <f t="shared" si="54"/>
        <v>0.1023247499781</v>
      </c>
    </row>
    <row r="961" spans="1:11" x14ac:dyDescent="0.35">
      <c r="A961" t="s">
        <v>77</v>
      </c>
      <c r="B961">
        <v>10107</v>
      </c>
      <c r="C961">
        <v>0.13786499999999999</v>
      </c>
      <c r="D961" s="5">
        <v>4.1669009000000002E-6</v>
      </c>
      <c r="E961">
        <v>-3.0959923999999998E-3</v>
      </c>
      <c r="F961">
        <v>-5.2183E-2</v>
      </c>
      <c r="G961" t="s">
        <v>210</v>
      </c>
      <c r="I961">
        <f t="shared" si="52"/>
        <v>0.13786083309909999</v>
      </c>
      <c r="J961">
        <f t="shared" si="53"/>
        <v>-3.1001593008999997E-3</v>
      </c>
      <c r="K961">
        <f t="shared" si="54"/>
        <v>-5.2187166900900001E-2</v>
      </c>
    </row>
    <row r="962" spans="1:11" x14ac:dyDescent="0.35">
      <c r="A962" t="s">
        <v>78</v>
      </c>
      <c r="B962">
        <v>10107</v>
      </c>
      <c r="C962">
        <v>-1.0517E-2</v>
      </c>
      <c r="D962" s="5">
        <v>3.472361E-6</v>
      </c>
      <c r="E962">
        <v>8.1810951000000007E-2</v>
      </c>
      <c r="F962">
        <v>2.3799000000000001E-2</v>
      </c>
      <c r="G962" t="s">
        <v>210</v>
      </c>
      <c r="I962">
        <f t="shared" si="52"/>
        <v>-1.0520472361E-2</v>
      </c>
      <c r="J962">
        <f t="shared" si="53"/>
        <v>8.1807478639000009E-2</v>
      </c>
      <c r="K962">
        <f t="shared" si="54"/>
        <v>2.3795527638999999E-2</v>
      </c>
    </row>
    <row r="963" spans="1:11" x14ac:dyDescent="0.35">
      <c r="A963" t="s">
        <v>79</v>
      </c>
      <c r="B963">
        <v>10107</v>
      </c>
      <c r="C963">
        <v>5.3571000000000001E-2</v>
      </c>
      <c r="D963" s="5">
        <v>3.7501898E-6</v>
      </c>
      <c r="E963">
        <v>3.1335082E-2</v>
      </c>
      <c r="F963">
        <v>5.3600000000000002E-4</v>
      </c>
      <c r="G963" t="s">
        <v>210</v>
      </c>
      <c r="I963">
        <f t="shared" si="52"/>
        <v>5.3567249810200002E-2</v>
      </c>
      <c r="J963">
        <f t="shared" si="53"/>
        <v>3.1331331810200001E-2</v>
      </c>
      <c r="K963">
        <f t="shared" si="54"/>
        <v>5.3224981020000002E-4</v>
      </c>
    </row>
    <row r="964" spans="1:11" x14ac:dyDescent="0.35">
      <c r="A964" t="s">
        <v>80</v>
      </c>
      <c r="B964">
        <v>10107</v>
      </c>
      <c r="C964">
        <v>4.3408000000000002E-2</v>
      </c>
      <c r="D964" s="5">
        <v>3.4723669000000002E-6</v>
      </c>
      <c r="E964">
        <v>4.5273893000000003E-2</v>
      </c>
      <c r="F964">
        <v>5.8351E-2</v>
      </c>
      <c r="G964" t="s">
        <v>210</v>
      </c>
      <c r="I964">
        <f t="shared" si="52"/>
        <v>4.3404527633100001E-2</v>
      </c>
      <c r="J964">
        <f t="shared" si="53"/>
        <v>4.5270420633100002E-2</v>
      </c>
      <c r="K964">
        <f t="shared" si="54"/>
        <v>5.8347527633099999E-2</v>
      </c>
    </row>
    <row r="965" spans="1:11" x14ac:dyDescent="0.35">
      <c r="A965" t="s">
        <v>81</v>
      </c>
      <c r="B965">
        <v>10107</v>
      </c>
      <c r="C965">
        <v>7.8148999999999996E-2</v>
      </c>
      <c r="D965" s="5">
        <v>1.2500171000000001E-6</v>
      </c>
      <c r="E965">
        <v>-3.1813566000000001E-2</v>
      </c>
      <c r="F965">
        <v>3.7227999999999997E-2</v>
      </c>
      <c r="G965" t="s">
        <v>210</v>
      </c>
      <c r="I965">
        <f t="shared" si="52"/>
        <v>7.81477499829E-2</v>
      </c>
      <c r="J965">
        <f t="shared" si="53"/>
        <v>-3.1814816017100005E-2</v>
      </c>
      <c r="K965">
        <f t="shared" si="54"/>
        <v>3.7226749982899994E-2</v>
      </c>
    </row>
    <row r="966" spans="1:11" x14ac:dyDescent="0.35">
      <c r="A966" t="s">
        <v>82</v>
      </c>
      <c r="B966">
        <v>10107</v>
      </c>
      <c r="C966">
        <v>6.5271999999999997E-2</v>
      </c>
      <c r="D966" s="5">
        <v>8.3334305000000002E-7</v>
      </c>
      <c r="E966">
        <v>5.1395169999999997E-2</v>
      </c>
      <c r="F966">
        <v>0.12786500000000001</v>
      </c>
      <c r="G966" t="s">
        <v>210</v>
      </c>
      <c r="I966">
        <f t="shared" si="52"/>
        <v>6.527116665695E-2</v>
      </c>
      <c r="J966">
        <f t="shared" si="53"/>
        <v>5.139433665695E-2</v>
      </c>
      <c r="K966">
        <f t="shared" si="54"/>
        <v>0.12786416665695</v>
      </c>
    </row>
    <row r="967" spans="1:11" x14ac:dyDescent="0.35">
      <c r="A967" t="s">
        <v>83</v>
      </c>
      <c r="B967">
        <v>10107</v>
      </c>
      <c r="C967">
        <v>3.6381999999999998E-2</v>
      </c>
      <c r="D967" s="5">
        <v>2.5000749999999999E-6</v>
      </c>
      <c r="E967">
        <v>2.8345333E-2</v>
      </c>
      <c r="F967">
        <v>-7.2034000000000001E-2</v>
      </c>
      <c r="G967" t="s">
        <v>210</v>
      </c>
      <c r="I967">
        <f t="shared" si="52"/>
        <v>3.6379499924999996E-2</v>
      </c>
      <c r="J967">
        <f t="shared" si="53"/>
        <v>2.8342832925000002E-2</v>
      </c>
      <c r="K967">
        <f t="shared" si="54"/>
        <v>-7.2036500074999996E-2</v>
      </c>
    </row>
    <row r="968" spans="1:11" x14ac:dyDescent="0.35">
      <c r="A968" t="s">
        <v>84</v>
      </c>
      <c r="B968">
        <v>10107</v>
      </c>
      <c r="C968">
        <v>-7.5458999999999998E-2</v>
      </c>
      <c r="D968" s="5">
        <v>1.5278105E-6</v>
      </c>
      <c r="E968">
        <v>-3.7133395999999999E-2</v>
      </c>
      <c r="F968">
        <v>-1.2579999999999999E-2</v>
      </c>
      <c r="G968" t="s">
        <v>210</v>
      </c>
      <c r="I968">
        <f t="shared" si="52"/>
        <v>-7.54605278105E-2</v>
      </c>
      <c r="J968">
        <f t="shared" si="53"/>
        <v>-3.7134923810500001E-2</v>
      </c>
      <c r="K968">
        <f t="shared" si="54"/>
        <v>-1.2581527810499999E-2</v>
      </c>
    </row>
    <row r="969" spans="1:11" x14ac:dyDescent="0.35">
      <c r="A969" t="s">
        <v>85</v>
      </c>
      <c r="B969">
        <v>10107</v>
      </c>
      <c r="C969">
        <v>2.2001E-2</v>
      </c>
      <c r="D969" s="5">
        <v>4.1666901999999998E-7</v>
      </c>
      <c r="E969">
        <v>3.4774009000000002E-2</v>
      </c>
      <c r="F969">
        <v>3.2747999999999999E-2</v>
      </c>
      <c r="G969" t="s">
        <v>210</v>
      </c>
      <c r="I969">
        <f t="shared" si="52"/>
        <v>2.2000583330980001E-2</v>
      </c>
      <c r="J969">
        <f t="shared" si="53"/>
        <v>3.4773592330979999E-2</v>
      </c>
      <c r="K969">
        <f t="shared" si="54"/>
        <v>3.2747583330979997E-2</v>
      </c>
    </row>
    <row r="970" spans="1:11" x14ac:dyDescent="0.35">
      <c r="A970" t="s">
        <v>86</v>
      </c>
      <c r="B970">
        <v>10107</v>
      </c>
      <c r="C970">
        <v>2.1538000000000002E-2</v>
      </c>
      <c r="D970" s="5">
        <v>2.6389829999999998E-6</v>
      </c>
      <c r="E970">
        <v>6.3639558999999998E-2</v>
      </c>
      <c r="F970">
        <v>-4.3860000000000001E-3</v>
      </c>
      <c r="G970" t="s">
        <v>210</v>
      </c>
      <c r="I970">
        <f t="shared" si="52"/>
        <v>2.1535361017000001E-2</v>
      </c>
      <c r="J970">
        <f t="shared" si="53"/>
        <v>6.3636920016999998E-2</v>
      </c>
      <c r="K970">
        <f t="shared" si="54"/>
        <v>-4.3886389830000002E-3</v>
      </c>
    </row>
    <row r="971" spans="1:11" x14ac:dyDescent="0.35">
      <c r="A971" t="s">
        <v>87</v>
      </c>
      <c r="B971">
        <v>10107</v>
      </c>
      <c r="C971">
        <v>4.2595000000000001E-2</v>
      </c>
      <c r="D971" s="5">
        <v>4.0279559999999999E-6</v>
      </c>
      <c r="E971">
        <v>2.0069690000000001E-2</v>
      </c>
      <c r="F971">
        <v>5.8833999999999997E-2</v>
      </c>
      <c r="G971" t="s">
        <v>210</v>
      </c>
      <c r="I971">
        <f t="shared" si="52"/>
        <v>4.2590972044000003E-2</v>
      </c>
      <c r="J971">
        <f t="shared" si="53"/>
        <v>2.0065662044E-2</v>
      </c>
      <c r="K971">
        <f t="shared" si="54"/>
        <v>5.8829972043999999E-2</v>
      </c>
    </row>
    <row r="972" spans="1:11" x14ac:dyDescent="0.35">
      <c r="A972" t="s">
        <v>88</v>
      </c>
      <c r="B972">
        <v>10107</v>
      </c>
      <c r="C972">
        <v>-0.150811</v>
      </c>
      <c r="D972" s="5">
        <v>4.1669009000000002E-6</v>
      </c>
      <c r="E972">
        <v>-7.9213500000000006E-2</v>
      </c>
      <c r="F972">
        <v>3.0522000000000001E-2</v>
      </c>
      <c r="G972" t="s">
        <v>210</v>
      </c>
      <c r="I972">
        <f t="shared" si="52"/>
        <v>-0.15081516690089999</v>
      </c>
      <c r="J972">
        <f t="shared" si="53"/>
        <v>-7.92176669009E-2</v>
      </c>
      <c r="K972">
        <f t="shared" si="54"/>
        <v>3.05178330991E-2</v>
      </c>
    </row>
    <row r="973" spans="1:11" x14ac:dyDescent="0.35">
      <c r="A973" t="s">
        <v>89</v>
      </c>
      <c r="B973">
        <v>10107</v>
      </c>
      <c r="C973">
        <v>-0.10814</v>
      </c>
      <c r="D973" s="5">
        <v>4.4447111E-6</v>
      </c>
      <c r="E973">
        <v>-5.0825889999999999E-2</v>
      </c>
      <c r="F973">
        <v>2.3545E-2</v>
      </c>
      <c r="G973" t="s">
        <v>210</v>
      </c>
      <c r="I973">
        <f t="shared" si="52"/>
        <v>-0.1081444447111</v>
      </c>
      <c r="J973">
        <f t="shared" si="53"/>
        <v>-5.0830334711099996E-2</v>
      </c>
      <c r="K973">
        <f t="shared" si="54"/>
        <v>2.3540555288899999E-2</v>
      </c>
    </row>
    <row r="974" spans="1:11" x14ac:dyDescent="0.35">
      <c r="A974" t="s">
        <v>90</v>
      </c>
      <c r="B974">
        <v>10107</v>
      </c>
      <c r="C974">
        <v>0.121686</v>
      </c>
      <c r="D974" s="5">
        <v>3.7501547000000001E-6</v>
      </c>
      <c r="E974">
        <v>7.0217035999999997E-2</v>
      </c>
      <c r="F974">
        <v>-5.0871E-2</v>
      </c>
      <c r="G974" t="s">
        <v>210</v>
      </c>
      <c r="I974">
        <f t="shared" si="52"/>
        <v>0.1216822498453</v>
      </c>
      <c r="J974">
        <f t="shared" si="53"/>
        <v>7.0213285845299997E-2</v>
      </c>
      <c r="K974">
        <f t="shared" si="54"/>
        <v>-5.0874750154699999E-2</v>
      </c>
    </row>
    <row r="975" spans="1:11" x14ac:dyDescent="0.35">
      <c r="A975" t="s">
        <v>91</v>
      </c>
      <c r="B975">
        <v>10107</v>
      </c>
      <c r="C975">
        <v>-8.5819000000000006E-2</v>
      </c>
      <c r="D975" s="5">
        <v>4.1669009000000002E-6</v>
      </c>
      <c r="E975">
        <v>-4.2918108000000003E-2</v>
      </c>
      <c r="F975">
        <v>5.7061000000000001E-2</v>
      </c>
      <c r="G975" t="s">
        <v>210</v>
      </c>
      <c r="I975">
        <f t="shared" si="52"/>
        <v>-8.58231669009E-2</v>
      </c>
      <c r="J975">
        <f t="shared" si="53"/>
        <v>-4.2922274900900004E-2</v>
      </c>
      <c r="K975">
        <f t="shared" si="54"/>
        <v>5.70568330991E-2</v>
      </c>
    </row>
    <row r="976" spans="1:11" x14ac:dyDescent="0.35">
      <c r="A976" t="s">
        <v>92</v>
      </c>
      <c r="B976">
        <v>10107</v>
      </c>
      <c r="C976">
        <v>4.3681999999999999E-2</v>
      </c>
      <c r="D976" s="5">
        <v>4.7224784999999996E-6</v>
      </c>
      <c r="E976">
        <v>9.1566808999999999E-2</v>
      </c>
      <c r="F976">
        <v>4.7756E-2</v>
      </c>
      <c r="G976" t="s">
        <v>210</v>
      </c>
      <c r="I976">
        <f t="shared" si="52"/>
        <v>4.3677277521499996E-2</v>
      </c>
      <c r="J976">
        <f t="shared" si="53"/>
        <v>9.1562086521499997E-2</v>
      </c>
      <c r="K976">
        <f t="shared" si="54"/>
        <v>4.7751277521499998E-2</v>
      </c>
    </row>
    <row r="977" spans="1:11" x14ac:dyDescent="0.35">
      <c r="A977" t="s">
        <v>93</v>
      </c>
      <c r="B977">
        <v>10107</v>
      </c>
      <c r="C977">
        <v>8.8812000000000002E-2</v>
      </c>
      <c r="D977" s="5">
        <v>4.3058153000000004E-6</v>
      </c>
      <c r="E977">
        <v>3.7957888000000002E-2</v>
      </c>
      <c r="F977">
        <v>3.6823000000000002E-2</v>
      </c>
      <c r="G977" t="s">
        <v>210</v>
      </c>
      <c r="I977">
        <f t="shared" si="52"/>
        <v>8.8807694184699998E-2</v>
      </c>
      <c r="J977">
        <f t="shared" si="53"/>
        <v>3.7953582184700005E-2</v>
      </c>
      <c r="K977">
        <f t="shared" si="54"/>
        <v>3.6818694184700004E-2</v>
      </c>
    </row>
    <row r="978" spans="1:11" x14ac:dyDescent="0.35">
      <c r="A978" t="s">
        <v>94</v>
      </c>
      <c r="B978">
        <v>10107</v>
      </c>
      <c r="C978">
        <v>-4.6783999999999999E-2</v>
      </c>
      <c r="D978" s="5">
        <v>4.0280046999999999E-6</v>
      </c>
      <c r="E978">
        <v>8.7761291999999998E-3</v>
      </c>
      <c r="F978">
        <v>2.1113E-2</v>
      </c>
      <c r="G978" t="s">
        <v>210</v>
      </c>
      <c r="I978">
        <f t="shared" si="52"/>
        <v>-4.67880280047E-2</v>
      </c>
      <c r="J978">
        <f t="shared" si="53"/>
        <v>8.7721011952999993E-3</v>
      </c>
      <c r="K978">
        <f t="shared" si="54"/>
        <v>2.1108971995299999E-2</v>
      </c>
    </row>
    <row r="979" spans="1:11" x14ac:dyDescent="0.35">
      <c r="A979" t="s">
        <v>95</v>
      </c>
      <c r="B979">
        <v>10107</v>
      </c>
      <c r="C979">
        <v>0.105018</v>
      </c>
      <c r="D979" s="5">
        <v>4.7224784999999996E-6</v>
      </c>
      <c r="E979">
        <v>6.7283355000000003E-2</v>
      </c>
      <c r="F979">
        <v>2.4368999999999998E-2</v>
      </c>
      <c r="G979" t="s">
        <v>210</v>
      </c>
      <c r="I979">
        <f t="shared" si="52"/>
        <v>0.1050132775215</v>
      </c>
      <c r="J979">
        <f t="shared" si="53"/>
        <v>6.7278632521500001E-2</v>
      </c>
      <c r="K979">
        <f t="shared" si="54"/>
        <v>2.43642775215E-2</v>
      </c>
    </row>
    <row r="980" spans="1:11" x14ac:dyDescent="0.35">
      <c r="A980" t="s">
        <v>96</v>
      </c>
      <c r="B980">
        <v>10107</v>
      </c>
      <c r="C980">
        <v>-6.6280000000000002E-3</v>
      </c>
      <c r="D980" s="5">
        <v>1.5278093000000001E-6</v>
      </c>
      <c r="E980">
        <v>1.9074834999999998E-2</v>
      </c>
      <c r="F980">
        <v>-6.3797999999999994E-2</v>
      </c>
      <c r="G980" t="s">
        <v>210</v>
      </c>
      <c r="I980">
        <f t="shared" si="52"/>
        <v>-6.6295278092999999E-3</v>
      </c>
      <c r="J980">
        <f t="shared" si="53"/>
        <v>1.9073307190699999E-2</v>
      </c>
      <c r="K980">
        <f t="shared" si="54"/>
        <v>-6.3799527809299997E-2</v>
      </c>
    </row>
    <row r="981" spans="1:11" x14ac:dyDescent="0.35">
      <c r="A981" t="s">
        <v>97</v>
      </c>
      <c r="B981">
        <v>10107</v>
      </c>
      <c r="C981">
        <v>-3.5527999999999997E-2</v>
      </c>
      <c r="D981" s="5">
        <v>4.1668749999999998E-6</v>
      </c>
      <c r="E981">
        <v>3.8132824000000003E-2</v>
      </c>
      <c r="F981">
        <v>5.9991000000000003E-2</v>
      </c>
      <c r="G981" t="s">
        <v>210</v>
      </c>
      <c r="I981">
        <f t="shared" si="52"/>
        <v>-3.5532166875E-2</v>
      </c>
      <c r="J981">
        <f t="shared" si="53"/>
        <v>3.8128657125E-2</v>
      </c>
      <c r="K981">
        <f t="shared" si="54"/>
        <v>5.9986833125E-2</v>
      </c>
    </row>
    <row r="982" spans="1:11" x14ac:dyDescent="0.35">
      <c r="A982" t="s">
        <v>98</v>
      </c>
      <c r="B982">
        <v>10107</v>
      </c>
      <c r="C982">
        <v>-4.4770999999999998E-2</v>
      </c>
      <c r="D982" s="5">
        <v>3.7501688E-6</v>
      </c>
      <c r="E982">
        <v>3.4299082999999998E-3</v>
      </c>
      <c r="F982">
        <v>1.5973999999999999E-2</v>
      </c>
      <c r="G982" t="s">
        <v>210</v>
      </c>
      <c r="I982">
        <f t="shared" si="52"/>
        <v>-4.4774750168799997E-2</v>
      </c>
      <c r="J982">
        <f t="shared" si="53"/>
        <v>3.4261581312E-3</v>
      </c>
      <c r="K982">
        <f t="shared" si="54"/>
        <v>1.59702498312E-2</v>
      </c>
    </row>
    <row r="983" spans="1:11" x14ac:dyDescent="0.35">
      <c r="A983" t="s">
        <v>99</v>
      </c>
      <c r="B983">
        <v>10107</v>
      </c>
      <c r="C983">
        <v>2.0874E-2</v>
      </c>
      <c r="D983" s="5">
        <v>1.8056012E-6</v>
      </c>
      <c r="E983">
        <v>2.8691142999999999E-2</v>
      </c>
      <c r="F983">
        <v>8.9446999999999999E-2</v>
      </c>
      <c r="G983" t="s">
        <v>210</v>
      </c>
      <c r="I983">
        <f t="shared" si="52"/>
        <v>2.08721943988E-2</v>
      </c>
      <c r="J983">
        <f t="shared" si="53"/>
        <v>2.8689337398799999E-2</v>
      </c>
      <c r="K983">
        <f t="shared" si="54"/>
        <v>8.9445194398799999E-2</v>
      </c>
    </row>
    <row r="984" spans="1:11" x14ac:dyDescent="0.35">
      <c r="A984" t="s">
        <v>100</v>
      </c>
      <c r="B984">
        <v>10107</v>
      </c>
      <c r="C984">
        <v>-2.8934999999999999E-2</v>
      </c>
      <c r="D984" s="5">
        <v>8.3334270999999995E-7</v>
      </c>
      <c r="E984">
        <v>-1.4824624999999999E-2</v>
      </c>
      <c r="F984">
        <v>-1.7916999999999999E-2</v>
      </c>
      <c r="G984" t="s">
        <v>210</v>
      </c>
      <c r="I984">
        <f t="shared" si="52"/>
        <v>-2.893583334271E-2</v>
      </c>
      <c r="J984">
        <f t="shared" si="53"/>
        <v>-1.4825458342709999E-2</v>
      </c>
      <c r="K984">
        <f t="shared" si="54"/>
        <v>-1.791783334271E-2</v>
      </c>
    </row>
    <row r="985" spans="1:11" x14ac:dyDescent="0.35">
      <c r="A985" t="s">
        <v>101</v>
      </c>
      <c r="B985">
        <v>10107</v>
      </c>
      <c r="C985">
        <v>3.9584000000000001E-2</v>
      </c>
      <c r="D985" s="5">
        <v>1.2500179E-6</v>
      </c>
      <c r="E985">
        <v>-1.8264328999999999E-2</v>
      </c>
      <c r="F985">
        <v>-2.4317999999999999E-2</v>
      </c>
      <c r="G985" t="s">
        <v>210</v>
      </c>
      <c r="I985">
        <f t="shared" si="52"/>
        <v>3.9582749982099999E-2</v>
      </c>
      <c r="J985">
        <f t="shared" si="53"/>
        <v>-1.8265579017899998E-2</v>
      </c>
      <c r="K985">
        <f t="shared" si="54"/>
        <v>-2.4319250017899998E-2</v>
      </c>
    </row>
    <row r="986" spans="1:11" x14ac:dyDescent="0.35">
      <c r="A986" t="s">
        <v>102</v>
      </c>
      <c r="B986">
        <v>10107</v>
      </c>
      <c r="C986">
        <v>5.3845999999999998E-2</v>
      </c>
      <c r="D986" s="5">
        <v>5.5555989E-7</v>
      </c>
      <c r="E986">
        <v>-2.2433277000000001E-2</v>
      </c>
      <c r="F986">
        <v>8.4170999999999996E-2</v>
      </c>
      <c r="G986" t="s">
        <v>210</v>
      </c>
      <c r="I986">
        <f t="shared" si="52"/>
        <v>5.3845444440109996E-2</v>
      </c>
      <c r="J986">
        <f t="shared" si="53"/>
        <v>-2.2433832559890003E-2</v>
      </c>
      <c r="K986">
        <f t="shared" si="54"/>
        <v>8.4170444440110001E-2</v>
      </c>
    </row>
    <row r="987" spans="1:11" x14ac:dyDescent="0.35">
      <c r="A987" t="s">
        <v>103</v>
      </c>
      <c r="B987">
        <v>10107</v>
      </c>
      <c r="C987">
        <v>-2.3358E-2</v>
      </c>
      <c r="D987" s="5">
        <v>5.0003378000000001E-6</v>
      </c>
      <c r="E987">
        <v>-5.7314354999999997E-2</v>
      </c>
      <c r="F987">
        <v>0.122749</v>
      </c>
      <c r="G987" t="s">
        <v>210</v>
      </c>
      <c r="I987">
        <f t="shared" si="52"/>
        <v>-2.3363000337800002E-2</v>
      </c>
      <c r="J987">
        <f t="shared" si="53"/>
        <v>-5.7319355337799999E-2</v>
      </c>
      <c r="K987">
        <f t="shared" si="54"/>
        <v>0.1227439996622</v>
      </c>
    </row>
    <row r="988" spans="1:11" x14ac:dyDescent="0.35">
      <c r="A988" t="s">
        <v>104</v>
      </c>
      <c r="B988">
        <v>10107</v>
      </c>
      <c r="C988">
        <v>-6.4285999999999996E-2</v>
      </c>
      <c r="D988" s="5">
        <v>4.1666856999999999E-7</v>
      </c>
      <c r="E988">
        <v>-8.4963291999999996E-2</v>
      </c>
      <c r="F988">
        <v>-0.110623</v>
      </c>
      <c r="G988" t="s">
        <v>210</v>
      </c>
      <c r="I988">
        <f t="shared" si="52"/>
        <v>-6.428641666856999E-2</v>
      </c>
      <c r="J988">
        <f t="shared" si="53"/>
        <v>-8.496370866856999E-2</v>
      </c>
      <c r="K988">
        <f t="shared" si="54"/>
        <v>-0.11062341666856999</v>
      </c>
    </row>
    <row r="989" spans="1:11" x14ac:dyDescent="0.35">
      <c r="A989" t="s">
        <v>105</v>
      </c>
      <c r="B989">
        <v>10107</v>
      </c>
      <c r="C989">
        <v>6.9907999999999998E-2</v>
      </c>
      <c r="D989" s="5">
        <v>5.5555972000000002E-7</v>
      </c>
      <c r="E989">
        <v>7.7098571000000005E-2</v>
      </c>
      <c r="F989">
        <v>5.8712E-2</v>
      </c>
      <c r="G989" t="s">
        <v>210</v>
      </c>
      <c r="I989">
        <f t="shared" si="52"/>
        <v>6.9907444440279992E-2</v>
      </c>
      <c r="J989">
        <f t="shared" si="53"/>
        <v>7.7098015440279999E-2</v>
      </c>
      <c r="K989">
        <f t="shared" si="54"/>
        <v>5.8711444440280001E-2</v>
      </c>
    </row>
    <row r="990" spans="1:11" x14ac:dyDescent="0.35">
      <c r="A990" t="s">
        <v>106</v>
      </c>
      <c r="B990">
        <v>10107</v>
      </c>
      <c r="C990">
        <v>-3.1919000000000003E-2</v>
      </c>
      <c r="D990" s="5">
        <v>6.9445048000000002E-7</v>
      </c>
      <c r="E990">
        <v>-2.5843721E-2</v>
      </c>
      <c r="F990">
        <v>1.6673E-2</v>
      </c>
      <c r="G990" t="s">
        <v>210</v>
      </c>
      <c r="I990">
        <f t="shared" si="52"/>
        <v>-3.1919694450480006E-2</v>
      </c>
      <c r="J990">
        <f t="shared" si="53"/>
        <v>-2.584441545048E-2</v>
      </c>
      <c r="K990">
        <f t="shared" si="54"/>
        <v>1.6672305549520001E-2</v>
      </c>
    </row>
    <row r="991" spans="1:11" x14ac:dyDescent="0.35">
      <c r="A991" t="s">
        <v>107</v>
      </c>
      <c r="B991">
        <v>10107</v>
      </c>
      <c r="C991">
        <v>1.4855E-2</v>
      </c>
      <c r="D991" s="5">
        <v>1.6666698E-7</v>
      </c>
      <c r="E991">
        <v>3.7129038999999999E-3</v>
      </c>
      <c r="F991">
        <v>-0.106624</v>
      </c>
      <c r="G991" t="s">
        <v>210</v>
      </c>
      <c r="I991">
        <f t="shared" si="52"/>
        <v>1.485483333302E-2</v>
      </c>
      <c r="J991">
        <f t="shared" si="53"/>
        <v>3.7127372330199998E-3</v>
      </c>
      <c r="K991">
        <f t="shared" si="54"/>
        <v>-0.10662416666697999</v>
      </c>
    </row>
    <row r="992" spans="1:11" x14ac:dyDescent="0.35">
      <c r="A992" t="s">
        <v>108</v>
      </c>
      <c r="B992">
        <v>10107</v>
      </c>
      <c r="C992">
        <v>0.137519</v>
      </c>
      <c r="D992" s="5">
        <v>4.1666901999999998E-7</v>
      </c>
      <c r="E992">
        <v>5.4102684999999998E-2</v>
      </c>
      <c r="F992">
        <v>0.113955</v>
      </c>
      <c r="G992" t="s">
        <v>210</v>
      </c>
      <c r="I992">
        <f t="shared" si="52"/>
        <v>0.13751858333097999</v>
      </c>
      <c r="J992">
        <f t="shared" si="53"/>
        <v>5.4102268330979995E-2</v>
      </c>
      <c r="K992">
        <f t="shared" si="54"/>
        <v>0.11395458333098001</v>
      </c>
    </row>
    <row r="993" spans="1:11" x14ac:dyDescent="0.35">
      <c r="A993" t="s">
        <v>109</v>
      </c>
      <c r="B993">
        <v>10107</v>
      </c>
      <c r="C993">
        <v>8.1612000000000004E-2</v>
      </c>
      <c r="D993" s="5">
        <v>1.6666986000000001E-6</v>
      </c>
      <c r="E993">
        <v>4.1180659000000001E-2</v>
      </c>
      <c r="F993">
        <v>-2.9673000000000001E-2</v>
      </c>
      <c r="G993" t="s">
        <v>210</v>
      </c>
      <c r="I993">
        <f t="shared" si="52"/>
        <v>8.1610333301400009E-2</v>
      </c>
      <c r="J993">
        <f t="shared" si="53"/>
        <v>4.11789923014E-2</v>
      </c>
      <c r="K993">
        <f t="shared" si="54"/>
        <v>-2.9674666698600003E-2</v>
      </c>
    </row>
    <row r="994" spans="1:11" x14ac:dyDescent="0.35">
      <c r="A994" t="s">
        <v>110</v>
      </c>
      <c r="B994">
        <v>10107</v>
      </c>
      <c r="C994">
        <v>1.6226000000000001E-2</v>
      </c>
      <c r="D994" s="5">
        <v>1.1111247000000001E-6</v>
      </c>
      <c r="E994">
        <v>2.4026984000000001E-2</v>
      </c>
      <c r="F994">
        <v>-1.3184E-2</v>
      </c>
      <c r="G994" t="s">
        <v>210</v>
      </c>
      <c r="I994">
        <f t="shared" si="52"/>
        <v>1.6224888875300002E-2</v>
      </c>
      <c r="J994">
        <f t="shared" si="53"/>
        <v>2.4025872875300003E-2</v>
      </c>
      <c r="K994">
        <f t="shared" si="54"/>
        <v>-1.31851111247E-2</v>
      </c>
    </row>
    <row r="995" spans="1:11" x14ac:dyDescent="0.35">
      <c r="A995" t="s">
        <v>111</v>
      </c>
      <c r="B995">
        <v>10107</v>
      </c>
      <c r="C995">
        <v>-7.4409999999999997E-3</v>
      </c>
      <c r="D995" s="5">
        <v>9.722349400000001E-7</v>
      </c>
      <c r="E995">
        <v>-6.8070008E-3</v>
      </c>
      <c r="F995">
        <v>-1.48E-3</v>
      </c>
      <c r="G995" t="s">
        <v>210</v>
      </c>
      <c r="I995">
        <f t="shared" si="52"/>
        <v>-7.4419722349399996E-3</v>
      </c>
      <c r="J995">
        <f t="shared" si="53"/>
        <v>-6.8079730349399998E-3</v>
      </c>
      <c r="K995">
        <f t="shared" si="54"/>
        <v>-1.4809722349400001E-3</v>
      </c>
    </row>
    <row r="996" spans="1:11" x14ac:dyDescent="0.35">
      <c r="A996" t="s">
        <v>112</v>
      </c>
      <c r="B996">
        <v>10107</v>
      </c>
      <c r="C996">
        <v>-8.1992999999999996E-2</v>
      </c>
      <c r="D996" s="5">
        <v>1.8055947E-6</v>
      </c>
      <c r="E996">
        <v>-6.5889180000000006E-2</v>
      </c>
      <c r="F996">
        <v>-6.3380000000000006E-2</v>
      </c>
      <c r="G996" t="s">
        <v>210</v>
      </c>
      <c r="I996">
        <f t="shared" si="52"/>
        <v>-8.1994805594700002E-2</v>
      </c>
      <c r="J996">
        <f t="shared" si="53"/>
        <v>-6.5890985594700011E-2</v>
      </c>
      <c r="K996">
        <f t="shared" si="54"/>
        <v>-6.3381805594700011E-2</v>
      </c>
    </row>
    <row r="997" spans="1:11" x14ac:dyDescent="0.35">
      <c r="A997" t="s">
        <v>113</v>
      </c>
      <c r="B997">
        <v>10107</v>
      </c>
      <c r="C997">
        <v>4.7961999999999998E-2</v>
      </c>
      <c r="D997" s="5">
        <v>8.3334305000000002E-7</v>
      </c>
      <c r="E997">
        <v>3.8209856E-2</v>
      </c>
      <c r="F997">
        <v>2.3546000000000001E-2</v>
      </c>
      <c r="G997" t="s">
        <v>210</v>
      </c>
      <c r="I997">
        <f t="shared" si="52"/>
        <v>4.7961166656950001E-2</v>
      </c>
      <c r="J997">
        <f t="shared" si="53"/>
        <v>3.8209022656950004E-2</v>
      </c>
      <c r="K997">
        <f t="shared" si="54"/>
        <v>2.3545166656950001E-2</v>
      </c>
    </row>
    <row r="998" spans="1:11" x14ac:dyDescent="0.35">
      <c r="A998" t="s">
        <v>114</v>
      </c>
      <c r="B998">
        <v>10107</v>
      </c>
      <c r="C998">
        <v>-3.6613E-2</v>
      </c>
      <c r="D998" s="5">
        <v>9.722349400000001E-7</v>
      </c>
      <c r="E998">
        <v>1.0293739999999999E-2</v>
      </c>
      <c r="F998">
        <v>8.3770000000000008E-3</v>
      </c>
      <c r="G998" t="s">
        <v>210</v>
      </c>
      <c r="I998">
        <f t="shared" si="52"/>
        <v>-3.661397223494E-2</v>
      </c>
      <c r="J998">
        <f t="shared" si="53"/>
        <v>1.0292767765059999E-2</v>
      </c>
      <c r="K998">
        <f t="shared" si="54"/>
        <v>8.3760277650600009E-3</v>
      </c>
    </row>
    <row r="999" spans="1:11" x14ac:dyDescent="0.35">
      <c r="A999" t="s">
        <v>115</v>
      </c>
      <c r="B999">
        <v>10107</v>
      </c>
      <c r="C999">
        <v>5.2595999999999997E-2</v>
      </c>
      <c r="D999" s="5">
        <v>1.3889111E-6</v>
      </c>
      <c r="E999">
        <v>2.6292300000000001E-2</v>
      </c>
      <c r="F999">
        <v>4.9396000000000002E-2</v>
      </c>
      <c r="G999" t="s">
        <v>210</v>
      </c>
      <c r="I999">
        <f t="shared" si="52"/>
        <v>5.2594611088899998E-2</v>
      </c>
      <c r="J999">
        <f t="shared" si="53"/>
        <v>2.6290911088900002E-2</v>
      </c>
      <c r="K999">
        <f t="shared" si="54"/>
        <v>4.9394611088900003E-2</v>
      </c>
    </row>
    <row r="1000" spans="1:11" x14ac:dyDescent="0.35">
      <c r="A1000" t="s">
        <v>116</v>
      </c>
      <c r="B1000">
        <v>10107</v>
      </c>
      <c r="C1000">
        <v>-3.4393E-2</v>
      </c>
      <c r="D1000" s="5">
        <v>2.3611862999999998E-6</v>
      </c>
      <c r="E1000">
        <v>2.6509768999999999E-2</v>
      </c>
      <c r="F1000">
        <v>4.6705999999999998E-2</v>
      </c>
      <c r="G1000" t="s">
        <v>210</v>
      </c>
      <c r="I1000">
        <f t="shared" si="52"/>
        <v>-3.4395361186300002E-2</v>
      </c>
      <c r="J1000">
        <f t="shared" si="53"/>
        <v>2.65074078137E-2</v>
      </c>
      <c r="K1000">
        <f t="shared" si="54"/>
        <v>4.6703638813699995E-2</v>
      </c>
    </row>
    <row r="1001" spans="1:11" x14ac:dyDescent="0.35">
      <c r="A1001" t="s">
        <v>117</v>
      </c>
      <c r="B1001">
        <v>10107</v>
      </c>
      <c r="C1001">
        <v>-4.0994999999999997E-2</v>
      </c>
      <c r="D1001" s="5">
        <v>1.5278093000000001E-6</v>
      </c>
      <c r="E1001">
        <v>-1.0423534999999999E-2</v>
      </c>
      <c r="F1001">
        <v>-2.9437000000000001E-2</v>
      </c>
      <c r="G1001" t="s">
        <v>210</v>
      </c>
      <c r="I1001">
        <f t="shared" si="52"/>
        <v>-4.09965278093E-2</v>
      </c>
      <c r="J1001">
        <f t="shared" si="53"/>
        <v>-1.0425062809299999E-2</v>
      </c>
      <c r="K1001">
        <f t="shared" si="54"/>
        <v>-2.9438527809300001E-2</v>
      </c>
    </row>
    <row r="1002" spans="1:11" x14ac:dyDescent="0.35">
      <c r="A1002" t="s">
        <v>118</v>
      </c>
      <c r="B1002">
        <v>10107</v>
      </c>
      <c r="C1002">
        <v>-5.9389999999999998E-2</v>
      </c>
      <c r="D1002" s="5">
        <v>2.7778665000000001E-6</v>
      </c>
      <c r="E1002">
        <v>6.5123695000000002E-3</v>
      </c>
      <c r="F1002">
        <v>-4.6750000000000003E-3</v>
      </c>
      <c r="G1002" t="s">
        <v>210</v>
      </c>
      <c r="I1002">
        <f t="shared" si="52"/>
        <v>-5.9392777866499998E-2</v>
      </c>
      <c r="J1002">
        <f t="shared" si="53"/>
        <v>6.5095916335000002E-3</v>
      </c>
      <c r="K1002">
        <f t="shared" si="54"/>
        <v>-4.6777778665000004E-3</v>
      </c>
    </row>
    <row r="1003" spans="1:11" x14ac:dyDescent="0.35">
      <c r="A1003" t="s">
        <v>119</v>
      </c>
      <c r="B1003">
        <v>10107</v>
      </c>
      <c r="C1003">
        <v>3.558E-3</v>
      </c>
      <c r="D1003" s="5">
        <v>3.1945822000000001E-6</v>
      </c>
      <c r="E1003">
        <v>1.2589275E-2</v>
      </c>
      <c r="F1003">
        <v>-2.4267E-2</v>
      </c>
      <c r="G1003" t="s">
        <v>210</v>
      </c>
      <c r="I1003">
        <f t="shared" si="52"/>
        <v>3.5548054177999997E-3</v>
      </c>
      <c r="J1003">
        <f t="shared" si="53"/>
        <v>1.2586080417800001E-2</v>
      </c>
      <c r="K1003">
        <f t="shared" si="54"/>
        <v>-2.4270194582200002E-2</v>
      </c>
    </row>
    <row r="1004" spans="1:11" x14ac:dyDescent="0.35">
      <c r="A1004" t="s">
        <v>120</v>
      </c>
      <c r="B1004">
        <v>10107</v>
      </c>
      <c r="C1004">
        <v>2.7716999999999999E-2</v>
      </c>
      <c r="D1004" s="5">
        <v>5.5555926999999998E-7</v>
      </c>
      <c r="E1004">
        <v>5.4154015999999999E-2</v>
      </c>
      <c r="F1004">
        <v>-5.0639999999999999E-3</v>
      </c>
      <c r="G1004" t="s">
        <v>210</v>
      </c>
      <c r="I1004">
        <f t="shared" si="52"/>
        <v>2.7716444440729997E-2</v>
      </c>
      <c r="J1004">
        <f t="shared" si="53"/>
        <v>5.4153460440730002E-2</v>
      </c>
      <c r="K1004">
        <f t="shared" si="54"/>
        <v>-5.0645555592700002E-3</v>
      </c>
    </row>
    <row r="1005" spans="1:11" x14ac:dyDescent="0.35">
      <c r="A1005" t="s">
        <v>121</v>
      </c>
      <c r="B1005">
        <v>10107</v>
      </c>
      <c r="C1005">
        <v>2.1128999999999998E-2</v>
      </c>
      <c r="D1005" s="5">
        <v>1.1111283999999999E-6</v>
      </c>
      <c r="E1005">
        <v>8.3725397000000007E-3</v>
      </c>
      <c r="F1005">
        <v>-5.0867999999999997E-2</v>
      </c>
      <c r="G1005" t="s">
        <v>210</v>
      </c>
      <c r="I1005">
        <f t="shared" si="52"/>
        <v>2.1127888871599998E-2</v>
      </c>
      <c r="J1005">
        <f t="shared" si="53"/>
        <v>8.3714285716000002E-3</v>
      </c>
      <c r="K1005">
        <f t="shared" si="54"/>
        <v>-5.0869111128399994E-2</v>
      </c>
    </row>
    <row r="1006" spans="1:11" x14ac:dyDescent="0.35">
      <c r="A1006" t="s">
        <v>122</v>
      </c>
      <c r="B1006">
        <v>10107</v>
      </c>
      <c r="C1006">
        <v>2.8957E-2</v>
      </c>
      <c r="D1006" s="5">
        <v>2.3611892000000002E-6</v>
      </c>
      <c r="E1006">
        <v>3.5316341000000001E-2</v>
      </c>
      <c r="F1006">
        <v>9.6080000000000002E-3</v>
      </c>
      <c r="G1006" t="s">
        <v>210</v>
      </c>
      <c r="I1006">
        <f t="shared" si="52"/>
        <v>2.8954638810800001E-2</v>
      </c>
      <c r="J1006">
        <f t="shared" si="53"/>
        <v>3.5313979810799999E-2</v>
      </c>
      <c r="K1006">
        <f t="shared" si="54"/>
        <v>9.6056388107999997E-3</v>
      </c>
    </row>
    <row r="1007" spans="1:11" x14ac:dyDescent="0.35">
      <c r="A1007" t="s">
        <v>123</v>
      </c>
      <c r="B1007">
        <v>10107</v>
      </c>
      <c r="C1007">
        <v>0.15714</v>
      </c>
      <c r="D1007" s="5">
        <v>9.7223551000000005E-7</v>
      </c>
      <c r="E1007">
        <v>1.4946403E-2</v>
      </c>
      <c r="F1007">
        <v>-7.5743000000000005E-2</v>
      </c>
      <c r="G1007" t="s">
        <v>210</v>
      </c>
      <c r="I1007">
        <f t="shared" si="52"/>
        <v>0.15713902776449001</v>
      </c>
      <c r="J1007">
        <f t="shared" si="53"/>
        <v>1.494543076449E-2</v>
      </c>
      <c r="K1007">
        <f t="shared" si="54"/>
        <v>-7.5743972235510007E-2</v>
      </c>
    </row>
    <row r="1008" spans="1:11" x14ac:dyDescent="0.35">
      <c r="A1008" t="s">
        <v>124</v>
      </c>
      <c r="B1008">
        <v>10107</v>
      </c>
      <c r="C1008">
        <v>6.1329000000000002E-2</v>
      </c>
      <c r="D1008" s="5">
        <v>9.7223312000000006E-7</v>
      </c>
      <c r="E1008">
        <v>1.9178807999999999E-2</v>
      </c>
      <c r="F1008">
        <v>-6.1988000000000001E-2</v>
      </c>
      <c r="G1008" t="s">
        <v>210</v>
      </c>
      <c r="I1008">
        <f t="shared" si="52"/>
        <v>6.1328027766880004E-2</v>
      </c>
      <c r="J1008">
        <f t="shared" si="53"/>
        <v>1.9177835766879998E-2</v>
      </c>
      <c r="K1008">
        <f t="shared" si="54"/>
        <v>-6.1988972233119999E-2</v>
      </c>
    </row>
    <row r="1009" spans="1:11" x14ac:dyDescent="0.35">
      <c r="A1009" t="s">
        <v>125</v>
      </c>
      <c r="B1009">
        <v>10107</v>
      </c>
      <c r="C1009">
        <v>-1.0172E-2</v>
      </c>
      <c r="D1009" s="5">
        <v>5.5555972000000002E-7</v>
      </c>
      <c r="E1009">
        <v>-1.5042944000000001E-2</v>
      </c>
      <c r="F1009">
        <v>-0.11058800000000001</v>
      </c>
      <c r="G1009" t="s">
        <v>210</v>
      </c>
      <c r="I1009">
        <f t="shared" si="52"/>
        <v>-1.0172555559720001E-2</v>
      </c>
      <c r="J1009">
        <f t="shared" si="53"/>
        <v>-1.5043499559720001E-2</v>
      </c>
      <c r="K1009">
        <f t="shared" si="54"/>
        <v>-0.11058855555972001</v>
      </c>
    </row>
    <row r="1010" spans="1:11" x14ac:dyDescent="0.35">
      <c r="A1010" t="s">
        <v>126</v>
      </c>
      <c r="B1010">
        <v>10107</v>
      </c>
      <c r="C1010">
        <v>-7.8303999999999999E-2</v>
      </c>
      <c r="D1010" s="5">
        <v>1.3888915000000001E-7</v>
      </c>
      <c r="E1010">
        <v>5.2630160000000002E-2</v>
      </c>
      <c r="F1010">
        <v>7.4301000000000006E-2</v>
      </c>
      <c r="G1010" t="s">
        <v>210</v>
      </c>
      <c r="I1010">
        <f t="shared" si="52"/>
        <v>-7.8304138889149999E-2</v>
      </c>
      <c r="J1010">
        <f t="shared" si="53"/>
        <v>5.2630021110850002E-2</v>
      </c>
      <c r="K1010">
        <f t="shared" si="54"/>
        <v>7.4300861110850006E-2</v>
      </c>
    </row>
    <row r="1011" spans="1:11" x14ac:dyDescent="0.35">
      <c r="A1011" t="s">
        <v>127</v>
      </c>
      <c r="B1011">
        <v>10107</v>
      </c>
      <c r="C1011">
        <v>5.6218999999999998E-2</v>
      </c>
      <c r="D1011" s="5">
        <v>2.7777863999999998E-7</v>
      </c>
      <c r="E1011">
        <v>-2.5734027999999999E-2</v>
      </c>
      <c r="F1011">
        <v>5.2047000000000003E-2</v>
      </c>
      <c r="G1011" t="s">
        <v>210</v>
      </c>
      <c r="I1011">
        <f t="shared" si="52"/>
        <v>5.6218722221359999E-2</v>
      </c>
      <c r="J1011">
        <f t="shared" si="53"/>
        <v>-2.5734305778639999E-2</v>
      </c>
      <c r="K1011">
        <f t="shared" si="54"/>
        <v>5.2046722221360003E-2</v>
      </c>
    </row>
    <row r="1012" spans="1:11" x14ac:dyDescent="0.35">
      <c r="A1012" t="s">
        <v>128</v>
      </c>
      <c r="B1012">
        <v>10107</v>
      </c>
      <c r="C1012">
        <v>-3.5929999999999998E-3</v>
      </c>
      <c r="D1012" s="5">
        <v>6.9445092999999996E-7</v>
      </c>
      <c r="E1012">
        <v>3.7508949999999999E-2</v>
      </c>
      <c r="F1012">
        <v>-4.7837999999999999E-2</v>
      </c>
      <c r="G1012" t="s">
        <v>210</v>
      </c>
      <c r="I1012">
        <f t="shared" si="52"/>
        <v>-3.5936944509299996E-3</v>
      </c>
      <c r="J1012">
        <f t="shared" si="53"/>
        <v>3.7508255549070002E-2</v>
      </c>
      <c r="K1012">
        <f t="shared" si="54"/>
        <v>-4.7838694450929996E-2</v>
      </c>
    </row>
    <row r="1013" spans="1:11" x14ac:dyDescent="0.35">
      <c r="A1013" t="s">
        <v>129</v>
      </c>
      <c r="B1013">
        <v>10107</v>
      </c>
      <c r="C1013">
        <v>6.3852000000000006E-2</v>
      </c>
      <c r="D1013" s="5">
        <v>6.9445025000000003E-7</v>
      </c>
      <c r="E1013">
        <v>3.5732113000000003E-2</v>
      </c>
      <c r="F1013">
        <v>-3.4329999999999999E-3</v>
      </c>
      <c r="G1013" t="s">
        <v>210</v>
      </c>
      <c r="I1013">
        <f t="shared" si="52"/>
        <v>6.3851305549750006E-2</v>
      </c>
      <c r="J1013">
        <f t="shared" si="53"/>
        <v>3.5731418549750003E-2</v>
      </c>
      <c r="K1013">
        <f t="shared" si="54"/>
        <v>-3.4336944502499998E-3</v>
      </c>
    </row>
    <row r="1014" spans="1:11" x14ac:dyDescent="0.35">
      <c r="A1014" t="s">
        <v>130</v>
      </c>
      <c r="B1014">
        <v>10107</v>
      </c>
      <c r="C1014">
        <v>8.4875000000000006E-2</v>
      </c>
      <c r="D1014" s="5">
        <v>9.7223597000000002E-7</v>
      </c>
      <c r="E1014">
        <v>2.3912761000000001E-2</v>
      </c>
      <c r="F1014">
        <v>-5.5112000000000001E-2</v>
      </c>
      <c r="G1014" t="s">
        <v>210</v>
      </c>
      <c r="I1014">
        <f t="shared" si="52"/>
        <v>8.4874027764030011E-2</v>
      </c>
      <c r="J1014">
        <f t="shared" si="53"/>
        <v>2.3911788764030002E-2</v>
      </c>
      <c r="K1014">
        <f t="shared" si="54"/>
        <v>-5.5112972235970004E-2</v>
      </c>
    </row>
    <row r="1015" spans="1:11" x14ac:dyDescent="0.35">
      <c r="A1015" t="s">
        <v>131</v>
      </c>
      <c r="B1015">
        <v>10107</v>
      </c>
      <c r="C1015">
        <v>-1.8883E-2</v>
      </c>
      <c r="D1015" s="5">
        <v>1.5278093000000001E-6</v>
      </c>
      <c r="E1015">
        <v>2.6196547000000001E-2</v>
      </c>
      <c r="F1015">
        <v>-3.7945E-2</v>
      </c>
      <c r="G1015" t="s">
        <v>210</v>
      </c>
      <c r="I1015">
        <f t="shared" si="52"/>
        <v>-1.88845278093E-2</v>
      </c>
      <c r="J1015">
        <f t="shared" si="53"/>
        <v>2.6195019190700001E-2</v>
      </c>
      <c r="K1015">
        <f t="shared" si="54"/>
        <v>-3.7946527809300003E-2</v>
      </c>
    </row>
    <row r="1016" spans="1:11" x14ac:dyDescent="0.35">
      <c r="A1016" t="s">
        <v>132</v>
      </c>
      <c r="B1016">
        <v>10107</v>
      </c>
      <c r="C1016">
        <v>1.1494000000000001E-2</v>
      </c>
      <c r="D1016" s="5">
        <v>4.1666865999999999E-7</v>
      </c>
      <c r="E1016">
        <v>-2.9955011E-2</v>
      </c>
      <c r="F1016">
        <v>3.4188999999999997E-2</v>
      </c>
      <c r="G1016" t="s">
        <v>210</v>
      </c>
      <c r="I1016">
        <f t="shared" si="52"/>
        <v>1.1493583331340001E-2</v>
      </c>
      <c r="J1016">
        <f t="shared" si="53"/>
        <v>-2.9955427668659999E-2</v>
      </c>
      <c r="K1016">
        <f t="shared" si="54"/>
        <v>3.4188583331339999E-2</v>
      </c>
    </row>
    <row r="1017" spans="1:11" x14ac:dyDescent="0.35">
      <c r="A1017" t="s">
        <v>133</v>
      </c>
      <c r="B1017">
        <v>10107</v>
      </c>
      <c r="C1017">
        <v>1.9820000000000001E-2</v>
      </c>
      <c r="D1017" s="5">
        <v>8.3334270999999995E-7</v>
      </c>
      <c r="E1017">
        <v>4.6289820000000002E-2</v>
      </c>
      <c r="F1017">
        <v>6.2702999999999995E-2</v>
      </c>
      <c r="G1017" t="s">
        <v>210</v>
      </c>
      <c r="I1017">
        <f t="shared" si="52"/>
        <v>1.9819166657289999E-2</v>
      </c>
      <c r="J1017">
        <f t="shared" si="53"/>
        <v>4.6288986657290004E-2</v>
      </c>
      <c r="K1017">
        <f t="shared" si="54"/>
        <v>6.270216665728999E-2</v>
      </c>
    </row>
    <row r="1018" spans="1:11" x14ac:dyDescent="0.35">
      <c r="A1018" t="s">
        <v>134</v>
      </c>
      <c r="B1018">
        <v>10107</v>
      </c>
      <c r="C1018">
        <v>6.9956000000000004E-2</v>
      </c>
      <c r="D1018" s="5">
        <v>1.2500211E-6</v>
      </c>
      <c r="E1018">
        <v>4.4357283000000004E-3</v>
      </c>
      <c r="F1018">
        <v>-3.1420999999999998E-2</v>
      </c>
      <c r="G1018" t="s">
        <v>210</v>
      </c>
      <c r="I1018">
        <f t="shared" si="52"/>
        <v>6.9954749978899999E-2</v>
      </c>
      <c r="J1018">
        <f t="shared" si="53"/>
        <v>4.4344782789000007E-3</v>
      </c>
      <c r="K1018">
        <f t="shared" si="54"/>
        <v>-3.1422250021099996E-2</v>
      </c>
    </row>
    <row r="1019" spans="1:11" x14ac:dyDescent="0.35">
      <c r="A1019" t="s">
        <v>135</v>
      </c>
      <c r="B1019">
        <v>10107</v>
      </c>
      <c r="C1019">
        <v>-1.4394000000000001E-2</v>
      </c>
      <c r="D1019" s="5">
        <v>8.3334168999999996E-7</v>
      </c>
      <c r="E1019">
        <v>1.4230842999999999E-3</v>
      </c>
      <c r="F1019">
        <v>4.9350000000000002E-3</v>
      </c>
      <c r="G1019" t="s">
        <v>210</v>
      </c>
      <c r="I1019">
        <f t="shared" si="52"/>
        <v>-1.439483334169E-2</v>
      </c>
      <c r="J1019">
        <f t="shared" si="53"/>
        <v>1.4222509583099998E-3</v>
      </c>
      <c r="K1019">
        <f t="shared" si="54"/>
        <v>4.9341666583100005E-3</v>
      </c>
    </row>
    <row r="1020" spans="1:11" x14ac:dyDescent="0.35">
      <c r="A1020" t="s">
        <v>136</v>
      </c>
      <c r="B1020">
        <v>10107</v>
      </c>
      <c r="C1020">
        <v>2.0296999999999999E-2</v>
      </c>
      <c r="D1020" s="5">
        <v>5.5555893000000002E-7</v>
      </c>
      <c r="E1020">
        <v>2.0251281999999999E-2</v>
      </c>
      <c r="F1020">
        <v>-3.0509999999999999E-2</v>
      </c>
      <c r="G1020" t="s">
        <v>210</v>
      </c>
      <c r="I1020">
        <f t="shared" si="52"/>
        <v>2.029644444107E-2</v>
      </c>
      <c r="J1020">
        <f t="shared" si="53"/>
        <v>2.025072644107E-2</v>
      </c>
      <c r="K1020">
        <f t="shared" si="54"/>
        <v>-3.0510555558929998E-2</v>
      </c>
    </row>
    <row r="1021" spans="1:11" x14ac:dyDescent="0.35">
      <c r="A1021" t="s">
        <v>137</v>
      </c>
      <c r="B1021">
        <v>10107</v>
      </c>
      <c r="C1021">
        <v>1.8564000000000001E-2</v>
      </c>
      <c r="D1021" s="5">
        <v>1.1111276999999999E-6</v>
      </c>
      <c r="E1021">
        <v>2.8027399000000001E-2</v>
      </c>
      <c r="F1021">
        <v>6.3189999999999996E-2</v>
      </c>
      <c r="G1021" t="s">
        <v>210</v>
      </c>
      <c r="I1021">
        <f t="shared" ref="I1021:I1084" si="55">C1021-D1021</f>
        <v>1.8562888872299999E-2</v>
      </c>
      <c r="J1021">
        <f t="shared" ref="J1021:J1084" si="56">E1021-D1021</f>
        <v>2.80262878723E-2</v>
      </c>
      <c r="K1021">
        <f t="shared" ref="K1021:K1084" si="57">F1021-D1021</f>
        <v>6.3188888872299995E-2</v>
      </c>
    </row>
    <row r="1022" spans="1:11" x14ac:dyDescent="0.35">
      <c r="A1022" t="s">
        <v>138</v>
      </c>
      <c r="B1022">
        <v>10107</v>
      </c>
      <c r="C1022">
        <v>3.5012000000000001E-2</v>
      </c>
      <c r="D1022" s="5">
        <v>4.1666874000000002E-7</v>
      </c>
      <c r="E1022">
        <v>-2.0529615000000001E-2</v>
      </c>
      <c r="F1022">
        <v>-3.6317000000000002E-2</v>
      </c>
      <c r="G1022" t="s">
        <v>210</v>
      </c>
      <c r="I1022">
        <f t="shared" si="55"/>
        <v>3.5011583331260004E-2</v>
      </c>
      <c r="J1022">
        <f t="shared" si="56"/>
        <v>-2.0530031668740002E-2</v>
      </c>
      <c r="K1022">
        <f t="shared" si="57"/>
        <v>-3.6317416668739999E-2</v>
      </c>
    </row>
    <row r="1023" spans="1:11" x14ac:dyDescent="0.35">
      <c r="A1023" t="s">
        <v>139</v>
      </c>
      <c r="B1023">
        <v>10107</v>
      </c>
      <c r="C1023">
        <v>5.9082000000000003E-2</v>
      </c>
      <c r="D1023" s="5">
        <v>2.0833394000000001E-7</v>
      </c>
      <c r="E1023">
        <v>4.0290773000000002E-2</v>
      </c>
      <c r="F1023">
        <v>3.8089999999999999E-3</v>
      </c>
      <c r="G1023" t="s">
        <v>210</v>
      </c>
      <c r="I1023">
        <f t="shared" si="55"/>
        <v>5.908179166606E-2</v>
      </c>
      <c r="J1023">
        <f t="shared" si="56"/>
        <v>4.029056466606E-2</v>
      </c>
      <c r="K1023">
        <f t="shared" si="57"/>
        <v>3.8087916660599999E-3</v>
      </c>
    </row>
    <row r="1024" spans="1:11" x14ac:dyDescent="0.35">
      <c r="A1024" t="s">
        <v>140</v>
      </c>
      <c r="B1024">
        <v>10107</v>
      </c>
      <c r="C1024">
        <v>2.0471E-2</v>
      </c>
      <c r="D1024" s="5">
        <v>5.5555972000000002E-7</v>
      </c>
      <c r="E1024">
        <v>-2.5125346999999999E-2</v>
      </c>
      <c r="F1024">
        <v>-6.1762999999999998E-2</v>
      </c>
      <c r="G1024" t="s">
        <v>210</v>
      </c>
      <c r="I1024">
        <f t="shared" si="55"/>
        <v>2.0470444440280001E-2</v>
      </c>
      <c r="J1024">
        <f t="shared" si="56"/>
        <v>-2.5125902559719998E-2</v>
      </c>
      <c r="K1024">
        <f t="shared" si="57"/>
        <v>-6.1763555559719997E-2</v>
      </c>
    </row>
    <row r="1025" spans="1:11" x14ac:dyDescent="0.35">
      <c r="A1025" t="s">
        <v>141</v>
      </c>
      <c r="B1025">
        <v>10107</v>
      </c>
      <c r="C1025">
        <v>1.2725999999999999E-2</v>
      </c>
      <c r="D1025" s="5">
        <v>4.1666865999999999E-7</v>
      </c>
      <c r="E1025">
        <v>3.7308317000000001E-2</v>
      </c>
      <c r="F1025">
        <v>-3.0547999999999999E-2</v>
      </c>
      <c r="G1025" t="s">
        <v>210</v>
      </c>
      <c r="I1025">
        <f t="shared" si="55"/>
        <v>1.2725583331339999E-2</v>
      </c>
      <c r="J1025">
        <f t="shared" si="56"/>
        <v>3.7307900331340002E-2</v>
      </c>
      <c r="K1025">
        <f t="shared" si="57"/>
        <v>-3.0548416668659997E-2</v>
      </c>
    </row>
    <row r="1026" spans="1:11" x14ac:dyDescent="0.35">
      <c r="A1026" t="s">
        <v>142</v>
      </c>
      <c r="B1026">
        <v>10107</v>
      </c>
      <c r="C1026">
        <v>2.4920000000000001E-2</v>
      </c>
      <c r="D1026" s="5">
        <v>2.7777887000000002E-7</v>
      </c>
      <c r="E1026">
        <v>2.0212193999999999E-2</v>
      </c>
      <c r="F1026">
        <v>-4.8820000000000001E-3</v>
      </c>
      <c r="G1026" t="s">
        <v>210</v>
      </c>
      <c r="I1026">
        <f t="shared" si="55"/>
        <v>2.4919722221130002E-2</v>
      </c>
      <c r="J1026">
        <f t="shared" si="56"/>
        <v>2.021191622113E-2</v>
      </c>
      <c r="K1026">
        <f t="shared" si="57"/>
        <v>-4.8822777788699997E-3</v>
      </c>
    </row>
    <row r="1027" spans="1:11" x14ac:dyDescent="0.35">
      <c r="A1027" t="s">
        <v>143</v>
      </c>
      <c r="B1027">
        <v>10107</v>
      </c>
      <c r="C1027">
        <v>-2.8445999999999999E-2</v>
      </c>
      <c r="D1027" s="5">
        <v>1.1111283999999999E-6</v>
      </c>
      <c r="E1027">
        <v>-3.5814726999999998E-3</v>
      </c>
      <c r="F1027">
        <v>1.3112E-2</v>
      </c>
      <c r="G1027" t="s">
        <v>210</v>
      </c>
      <c r="I1027">
        <f t="shared" si="55"/>
        <v>-2.84471111284E-2</v>
      </c>
      <c r="J1027">
        <f t="shared" si="56"/>
        <v>-3.5825838283999999E-3</v>
      </c>
      <c r="K1027">
        <f t="shared" si="57"/>
        <v>1.31108888716E-2</v>
      </c>
    </row>
    <row r="1028" spans="1:11" x14ac:dyDescent="0.35">
      <c r="A1028" t="s">
        <v>144</v>
      </c>
      <c r="B1028">
        <v>10107</v>
      </c>
      <c r="C1028">
        <v>-0.130248</v>
      </c>
      <c r="D1028" s="5">
        <v>4.1666856999999999E-7</v>
      </c>
      <c r="E1028">
        <v>-2.7105996E-2</v>
      </c>
      <c r="F1028">
        <v>8.6899000000000004E-2</v>
      </c>
      <c r="G1028" t="s">
        <v>210</v>
      </c>
      <c r="I1028">
        <f t="shared" si="55"/>
        <v>-0.13024841666857001</v>
      </c>
      <c r="J1028">
        <f t="shared" si="56"/>
        <v>-2.7106412668570001E-2</v>
      </c>
      <c r="K1028">
        <f t="shared" si="57"/>
        <v>8.689858333143001E-2</v>
      </c>
    </row>
    <row r="1029" spans="1:11" x14ac:dyDescent="0.35">
      <c r="A1029" t="s">
        <v>145</v>
      </c>
      <c r="B1029">
        <v>10107</v>
      </c>
      <c r="C1029">
        <v>9.3068999999999999E-2</v>
      </c>
      <c r="D1029" s="5">
        <v>4.1666901999999998E-7</v>
      </c>
      <c r="E1029">
        <v>5.6000657000000002E-2</v>
      </c>
      <c r="F1029">
        <v>-5.9052E-2</v>
      </c>
      <c r="G1029" t="s">
        <v>210</v>
      </c>
      <c r="I1029">
        <f t="shared" si="55"/>
        <v>9.3068583330980004E-2</v>
      </c>
      <c r="J1029">
        <f t="shared" si="56"/>
        <v>5.600024033098E-2</v>
      </c>
      <c r="K1029">
        <f t="shared" si="57"/>
        <v>-5.9052416669020003E-2</v>
      </c>
    </row>
    <row r="1030" spans="1:11" x14ac:dyDescent="0.35">
      <c r="A1030" t="s">
        <v>146</v>
      </c>
      <c r="B1030">
        <v>10107</v>
      </c>
      <c r="C1030">
        <v>-7.2861999999999996E-2</v>
      </c>
      <c r="D1030" s="5">
        <v>6.9445092999999996E-7</v>
      </c>
      <c r="E1030">
        <v>-1.0326237E-2</v>
      </c>
      <c r="F1030">
        <v>-2.1521999999999999E-2</v>
      </c>
      <c r="G1030" t="s">
        <v>210</v>
      </c>
      <c r="I1030">
        <f t="shared" si="55"/>
        <v>-7.2862694450929993E-2</v>
      </c>
      <c r="J1030">
        <f t="shared" si="56"/>
        <v>-1.0326931450930001E-2</v>
      </c>
      <c r="K1030">
        <f t="shared" si="57"/>
        <v>-2.152269445093E-2</v>
      </c>
    </row>
    <row r="1031" spans="1:11" x14ac:dyDescent="0.35">
      <c r="A1031" t="s">
        <v>147</v>
      </c>
      <c r="B1031">
        <v>10107</v>
      </c>
      <c r="C1031">
        <v>0.196409</v>
      </c>
      <c r="D1031" s="5">
        <v>6.9444996999999997E-7</v>
      </c>
      <c r="E1031">
        <v>8.6387536000000001E-3</v>
      </c>
      <c r="F1031">
        <v>-1.6720000000000001E-3</v>
      </c>
      <c r="G1031" t="s">
        <v>210</v>
      </c>
      <c r="I1031">
        <f t="shared" si="55"/>
        <v>0.19640830555003</v>
      </c>
      <c r="J1031">
        <f t="shared" si="56"/>
        <v>8.6380591500300006E-3</v>
      </c>
      <c r="K1031">
        <f t="shared" si="57"/>
        <v>-1.67269444997E-3</v>
      </c>
    </row>
    <row r="1032" spans="1:11" x14ac:dyDescent="0.35">
      <c r="A1032" t="s">
        <v>148</v>
      </c>
      <c r="B1032">
        <v>10107</v>
      </c>
      <c r="C1032">
        <v>-3.0221999999999999E-2</v>
      </c>
      <c r="D1032" s="5">
        <v>-1.3888861999999999E-7</v>
      </c>
      <c r="E1032">
        <v>1.0356373E-2</v>
      </c>
      <c r="F1032">
        <v>5.5519999999999996E-3</v>
      </c>
      <c r="G1032" t="s">
        <v>210</v>
      </c>
      <c r="I1032">
        <f t="shared" si="55"/>
        <v>-3.0221861111379998E-2</v>
      </c>
      <c r="J1032">
        <f t="shared" si="56"/>
        <v>1.0356511888620001E-2</v>
      </c>
      <c r="K1032">
        <f t="shared" si="57"/>
        <v>5.5521388886199995E-3</v>
      </c>
    </row>
    <row r="1033" spans="1:11" x14ac:dyDescent="0.35">
      <c r="A1033" t="s">
        <v>149</v>
      </c>
      <c r="B1033">
        <v>10107</v>
      </c>
      <c r="C1033">
        <v>-5.7832000000000001E-2</v>
      </c>
      <c r="D1033" s="5">
        <v>2.7777881000000001E-7</v>
      </c>
      <c r="E1033">
        <v>-1.9239652999999999E-2</v>
      </c>
      <c r="F1033">
        <v>-1.5162E-2</v>
      </c>
      <c r="G1033" t="s">
        <v>210</v>
      </c>
      <c r="I1033">
        <f t="shared" si="55"/>
        <v>-5.7832277778810004E-2</v>
      </c>
      <c r="J1033">
        <f t="shared" si="56"/>
        <v>-1.9239930778809998E-2</v>
      </c>
      <c r="K1033">
        <f t="shared" si="57"/>
        <v>-1.5162277778810001E-2</v>
      </c>
    </row>
    <row r="1034" spans="1:11" x14ac:dyDescent="0.35">
      <c r="A1034" t="s">
        <v>150</v>
      </c>
      <c r="B1034">
        <v>10107</v>
      </c>
      <c r="C1034">
        <v>5.7757999999999997E-2</v>
      </c>
      <c r="D1034" s="5">
        <v>1.3888911E-7</v>
      </c>
      <c r="E1034">
        <v>1.2304676000000001E-2</v>
      </c>
      <c r="F1034">
        <v>-6.6210000000000005E-2</v>
      </c>
      <c r="G1034" t="s">
        <v>210</v>
      </c>
      <c r="I1034">
        <f t="shared" si="55"/>
        <v>5.7757861110889999E-2</v>
      </c>
      <c r="J1034">
        <f t="shared" si="56"/>
        <v>1.2304537110890001E-2</v>
      </c>
      <c r="K1034">
        <f t="shared" si="57"/>
        <v>-6.621013888911001E-2</v>
      </c>
    </row>
    <row r="1035" spans="1:11" x14ac:dyDescent="0.35">
      <c r="A1035" t="s">
        <v>151</v>
      </c>
      <c r="B1035">
        <v>10107</v>
      </c>
      <c r="C1035">
        <v>-6.1455999999999997E-2</v>
      </c>
      <c r="D1035" s="5">
        <v>8.3334270999999995E-7</v>
      </c>
      <c r="E1035">
        <v>-6.0059883000000001E-2</v>
      </c>
      <c r="F1035">
        <v>3.7072000000000001E-2</v>
      </c>
      <c r="G1035" t="s">
        <v>210</v>
      </c>
      <c r="I1035">
        <f t="shared" si="55"/>
        <v>-6.1456833342709995E-2</v>
      </c>
      <c r="J1035">
        <f t="shared" si="56"/>
        <v>-6.0060716342709999E-2</v>
      </c>
      <c r="K1035">
        <f t="shared" si="57"/>
        <v>3.7071166657290003E-2</v>
      </c>
    </row>
    <row r="1036" spans="1:11" x14ac:dyDescent="0.35">
      <c r="A1036" t="s">
        <v>152</v>
      </c>
      <c r="B1036">
        <v>10107</v>
      </c>
      <c r="C1036">
        <v>1.7003999999999998E-2</v>
      </c>
      <c r="D1036" s="5">
        <v>2.7777869999999999E-7</v>
      </c>
      <c r="E1036">
        <v>-3.3820637000000001E-2</v>
      </c>
      <c r="F1036">
        <v>-1.8010999999999999E-2</v>
      </c>
      <c r="G1036" t="s">
        <v>210</v>
      </c>
      <c r="I1036">
        <f t="shared" si="55"/>
        <v>1.7003722221299998E-2</v>
      </c>
      <c r="J1036">
        <f t="shared" si="56"/>
        <v>-3.3820914778700001E-2</v>
      </c>
      <c r="K1036">
        <f t="shared" si="57"/>
        <v>-1.8011277778699999E-2</v>
      </c>
    </row>
    <row r="1037" spans="1:11" x14ac:dyDescent="0.35">
      <c r="A1037" t="s">
        <v>153</v>
      </c>
      <c r="B1037">
        <v>10107</v>
      </c>
      <c r="C1037">
        <v>0.189336</v>
      </c>
      <c r="D1037" s="5">
        <v>-2.7777693000000002E-7</v>
      </c>
      <c r="E1037">
        <v>7.4186891000000005E-2</v>
      </c>
      <c r="F1037">
        <v>2.2834E-2</v>
      </c>
      <c r="G1037" t="s">
        <v>210</v>
      </c>
      <c r="I1037">
        <f t="shared" si="55"/>
        <v>0.18933627777693002</v>
      </c>
      <c r="J1037">
        <f t="shared" si="56"/>
        <v>7.4187168776930004E-2</v>
      </c>
      <c r="K1037">
        <f t="shared" si="57"/>
        <v>2.283427777693E-2</v>
      </c>
    </row>
    <row r="1038" spans="1:11" x14ac:dyDescent="0.35">
      <c r="A1038" t="s">
        <v>154</v>
      </c>
      <c r="B1038">
        <v>10107</v>
      </c>
      <c r="C1038">
        <v>3.9323999999999998E-2</v>
      </c>
      <c r="D1038" s="5">
        <v>2.7777887000000002E-7</v>
      </c>
      <c r="E1038">
        <v>6.7570386000000001E-3</v>
      </c>
      <c r="F1038">
        <v>-6.7520999999999998E-2</v>
      </c>
      <c r="G1038" t="s">
        <v>210</v>
      </c>
      <c r="I1038">
        <f t="shared" si="55"/>
        <v>3.9323722221129995E-2</v>
      </c>
      <c r="J1038">
        <f t="shared" si="56"/>
        <v>6.7567608211300005E-3</v>
      </c>
      <c r="K1038">
        <f t="shared" si="57"/>
        <v>-6.7521277778870001E-2</v>
      </c>
    </row>
    <row r="1039" spans="1:11" x14ac:dyDescent="0.35">
      <c r="A1039" t="s">
        <v>155</v>
      </c>
      <c r="B1039">
        <v>10107</v>
      </c>
      <c r="C1039">
        <v>2.0791E-2</v>
      </c>
      <c r="D1039" s="5">
        <v>2.7778703E-6</v>
      </c>
      <c r="E1039">
        <v>-2.2346674E-2</v>
      </c>
      <c r="F1039">
        <v>-4.5129999999999997E-3</v>
      </c>
      <c r="G1039" t="s">
        <v>210</v>
      </c>
      <c r="I1039">
        <f t="shared" si="55"/>
        <v>2.0788222129699999E-2</v>
      </c>
      <c r="J1039">
        <f t="shared" si="56"/>
        <v>-2.2349451870300002E-2</v>
      </c>
      <c r="K1039">
        <f t="shared" si="57"/>
        <v>-4.5157778702999999E-3</v>
      </c>
    </row>
    <row r="1040" spans="1:11" x14ac:dyDescent="0.35">
      <c r="A1040" t="s">
        <v>156</v>
      </c>
      <c r="B1040">
        <v>10107</v>
      </c>
      <c r="C1040">
        <v>-7.0299999999999998E-3</v>
      </c>
      <c r="D1040" s="5">
        <v>3.8891008000000001E-6</v>
      </c>
      <c r="E1040">
        <v>-5.6998282999999997E-2</v>
      </c>
      <c r="F1040">
        <v>5.4101999999999997E-2</v>
      </c>
      <c r="G1040" t="s">
        <v>210</v>
      </c>
      <c r="I1040">
        <f t="shared" si="55"/>
        <v>-7.0338891008000001E-3</v>
      </c>
      <c r="J1040">
        <f t="shared" si="56"/>
        <v>-5.7002172100799997E-2</v>
      </c>
      <c r="K1040">
        <f t="shared" si="57"/>
        <v>5.4098110899199997E-2</v>
      </c>
    </row>
    <row r="1041" spans="1:11" x14ac:dyDescent="0.35">
      <c r="A1041" t="s">
        <v>157</v>
      </c>
      <c r="B1041">
        <v>10107</v>
      </c>
      <c r="C1041">
        <v>-6.9886000000000004E-2</v>
      </c>
      <c r="D1041" s="5">
        <v>6.2505273000000001E-6</v>
      </c>
      <c r="E1041">
        <v>6.8726775000000002E-4</v>
      </c>
      <c r="F1041">
        <v>0.10931200000000001</v>
      </c>
      <c r="G1041" t="s">
        <v>210</v>
      </c>
      <c r="I1041">
        <f t="shared" si="55"/>
        <v>-6.9892250527299998E-2</v>
      </c>
      <c r="J1041">
        <f t="shared" si="56"/>
        <v>6.8101722270000006E-4</v>
      </c>
      <c r="K1041">
        <f t="shared" si="57"/>
        <v>0.10930574947270001</v>
      </c>
    </row>
    <row r="1042" spans="1:11" x14ac:dyDescent="0.35">
      <c r="A1042" t="s">
        <v>158</v>
      </c>
      <c r="B1042">
        <v>10107</v>
      </c>
      <c r="C1042">
        <v>8.5495000000000002E-2</v>
      </c>
      <c r="D1042" s="5">
        <v>6.2504687000000001E-6</v>
      </c>
      <c r="E1042">
        <v>7.0505328000000006E-2</v>
      </c>
      <c r="F1042">
        <v>-8.4290000000000007E-3</v>
      </c>
      <c r="G1042" t="s">
        <v>210</v>
      </c>
      <c r="I1042">
        <f t="shared" si="55"/>
        <v>8.5488749531300007E-2</v>
      </c>
      <c r="J1042">
        <f t="shared" si="56"/>
        <v>7.0499077531300011E-2</v>
      </c>
      <c r="K1042">
        <f t="shared" si="57"/>
        <v>-8.4352504687000007E-3</v>
      </c>
    </row>
    <row r="1043" spans="1:11" x14ac:dyDescent="0.35">
      <c r="A1043" t="s">
        <v>159</v>
      </c>
      <c r="B1043">
        <v>10107</v>
      </c>
      <c r="C1043">
        <v>-9.7048999999999996E-2</v>
      </c>
      <c r="D1043" s="5">
        <v>4.7225344000000004E-6</v>
      </c>
      <c r="E1043">
        <v>1.1831184E-2</v>
      </c>
      <c r="F1043">
        <v>5.1088000000000001E-2</v>
      </c>
      <c r="G1043" t="s">
        <v>210</v>
      </c>
      <c r="I1043">
        <f t="shared" si="55"/>
        <v>-9.7053722534399992E-2</v>
      </c>
      <c r="J1043">
        <f t="shared" si="56"/>
        <v>1.1826461465599999E-2</v>
      </c>
      <c r="K1043">
        <f t="shared" si="57"/>
        <v>5.1083277465599999E-2</v>
      </c>
    </row>
    <row r="1044" spans="1:11" x14ac:dyDescent="0.35">
      <c r="A1044" t="s">
        <v>160</v>
      </c>
      <c r="B1044">
        <v>10107</v>
      </c>
      <c r="C1044">
        <v>6.9982000000000003E-2</v>
      </c>
      <c r="D1044" s="5">
        <v>4.3058058000000002E-6</v>
      </c>
      <c r="E1044">
        <v>1.4391575E-2</v>
      </c>
      <c r="F1044">
        <v>-6.1383E-2</v>
      </c>
      <c r="G1044" t="s">
        <v>210</v>
      </c>
      <c r="I1044">
        <f t="shared" si="55"/>
        <v>6.9977694194199996E-2</v>
      </c>
      <c r="J1044">
        <f t="shared" si="56"/>
        <v>1.4387269194200001E-2</v>
      </c>
      <c r="K1044">
        <f t="shared" si="57"/>
        <v>-6.1387305805799999E-2</v>
      </c>
    </row>
    <row r="1045" spans="1:11" x14ac:dyDescent="0.35">
      <c r="A1045" t="s">
        <v>161</v>
      </c>
      <c r="B1045">
        <v>10107</v>
      </c>
      <c r="C1045">
        <v>-3.4528000000000003E-2</v>
      </c>
      <c r="D1045" s="5">
        <v>5.0002877000000001E-6</v>
      </c>
      <c r="E1045">
        <v>3.1732204000000002E-3</v>
      </c>
      <c r="F1045">
        <v>8.9694999999999997E-2</v>
      </c>
      <c r="G1045" t="s">
        <v>210</v>
      </c>
      <c r="I1045">
        <f t="shared" si="55"/>
        <v>-3.4533000287700004E-2</v>
      </c>
      <c r="J1045">
        <f t="shared" si="56"/>
        <v>3.1682201123000003E-3</v>
      </c>
      <c r="K1045">
        <f t="shared" si="57"/>
        <v>8.9689999712300003E-2</v>
      </c>
    </row>
    <row r="1046" spans="1:11" x14ac:dyDescent="0.35">
      <c r="A1046" t="s">
        <v>162</v>
      </c>
      <c r="B1046">
        <v>10107</v>
      </c>
      <c r="C1046">
        <v>0.10768</v>
      </c>
      <c r="D1046" s="5">
        <v>5.1392584999999999E-6</v>
      </c>
      <c r="E1046">
        <v>3.8786817000000001E-2</v>
      </c>
      <c r="F1046">
        <v>1.9847E-2</v>
      </c>
      <c r="G1046" t="s">
        <v>210</v>
      </c>
      <c r="I1046">
        <f t="shared" si="55"/>
        <v>0.1076748607415</v>
      </c>
      <c r="J1046">
        <f t="shared" si="56"/>
        <v>3.8781677741500001E-2</v>
      </c>
      <c r="K1046">
        <f t="shared" si="57"/>
        <v>1.98418607415E-2</v>
      </c>
    </row>
    <row r="1047" spans="1:11" x14ac:dyDescent="0.35">
      <c r="A1047" t="s">
        <v>163</v>
      </c>
      <c r="B1047">
        <v>10107</v>
      </c>
      <c r="C1047">
        <v>2.0112999999999999E-2</v>
      </c>
      <c r="D1047" s="5">
        <v>5.0003378000000001E-6</v>
      </c>
      <c r="E1047">
        <v>2.7987469999999999E-3</v>
      </c>
      <c r="F1047">
        <v>-3.2563000000000002E-2</v>
      </c>
      <c r="G1047" t="s">
        <v>210</v>
      </c>
      <c r="I1047">
        <f t="shared" si="55"/>
        <v>2.0107999662199998E-2</v>
      </c>
      <c r="J1047">
        <f t="shared" si="56"/>
        <v>2.7937466621999999E-3</v>
      </c>
      <c r="K1047">
        <f t="shared" si="57"/>
        <v>-3.2568000337800003E-2</v>
      </c>
    </row>
    <row r="1048" spans="1:11" x14ac:dyDescent="0.35">
      <c r="A1048" t="s">
        <v>164</v>
      </c>
      <c r="B1048">
        <v>10107</v>
      </c>
      <c r="C1048">
        <v>2.4359999999999998E-3</v>
      </c>
      <c r="D1048" s="5">
        <v>6.8060649000000001E-6</v>
      </c>
      <c r="E1048">
        <v>3.0445021000000002E-3</v>
      </c>
      <c r="F1048">
        <v>6.8919999999999997E-3</v>
      </c>
      <c r="G1048" t="s">
        <v>210</v>
      </c>
      <c r="I1048">
        <f t="shared" si="55"/>
        <v>2.4291939350999997E-3</v>
      </c>
      <c r="J1048">
        <f t="shared" si="56"/>
        <v>3.0376960351E-3</v>
      </c>
      <c r="K1048">
        <f t="shared" si="57"/>
        <v>6.8851939350999996E-3</v>
      </c>
    </row>
    <row r="1049" spans="1:11" x14ac:dyDescent="0.35">
      <c r="A1049" t="s">
        <v>165</v>
      </c>
      <c r="B1049">
        <v>10107</v>
      </c>
      <c r="C1049">
        <v>4.0278000000000001E-2</v>
      </c>
      <c r="D1049" s="5">
        <v>5.5559721999999998E-6</v>
      </c>
      <c r="E1049">
        <v>-2.7060966999999998E-2</v>
      </c>
      <c r="F1049">
        <v>-2.9448999999999999E-2</v>
      </c>
      <c r="G1049" t="s">
        <v>210</v>
      </c>
      <c r="I1049">
        <f t="shared" si="55"/>
        <v>4.0272444027800003E-2</v>
      </c>
      <c r="J1049">
        <f t="shared" si="56"/>
        <v>-2.7066522972199997E-2</v>
      </c>
      <c r="K1049">
        <f t="shared" si="57"/>
        <v>-2.9454555972199998E-2</v>
      </c>
    </row>
    <row r="1050" spans="1:11" x14ac:dyDescent="0.35">
      <c r="A1050" t="s">
        <v>166</v>
      </c>
      <c r="B1050">
        <v>10107</v>
      </c>
      <c r="C1050">
        <v>1.2182999999999999E-2</v>
      </c>
      <c r="D1050" s="5">
        <v>5.0003127000000001E-6</v>
      </c>
      <c r="E1050">
        <v>4.0418684000000003E-2</v>
      </c>
      <c r="F1050">
        <v>-8.3566000000000001E-2</v>
      </c>
      <c r="G1050" t="s">
        <v>210</v>
      </c>
      <c r="I1050">
        <f t="shared" si="55"/>
        <v>1.21779996873E-2</v>
      </c>
      <c r="J1050">
        <f t="shared" si="56"/>
        <v>4.04136836873E-2</v>
      </c>
      <c r="K1050">
        <f t="shared" si="57"/>
        <v>-8.3571000312699997E-2</v>
      </c>
    </row>
    <row r="1051" spans="1:11" x14ac:dyDescent="0.35">
      <c r="A1051" t="s">
        <v>167</v>
      </c>
      <c r="B1051">
        <v>10107</v>
      </c>
      <c r="C1051">
        <v>3.1198E-2</v>
      </c>
      <c r="D1051" s="5">
        <v>6.9449747999999996E-6</v>
      </c>
      <c r="E1051">
        <v>1.8747913000000001E-2</v>
      </c>
      <c r="F1051">
        <v>-1.915E-2</v>
      </c>
      <c r="G1051" t="s">
        <v>210</v>
      </c>
      <c r="I1051">
        <f t="shared" si="55"/>
        <v>3.1191055025200001E-2</v>
      </c>
      <c r="J1051">
        <f t="shared" si="56"/>
        <v>1.8740968025200002E-2</v>
      </c>
      <c r="K1051">
        <f t="shared" si="57"/>
        <v>-1.91569449748E-2</v>
      </c>
    </row>
    <row r="1052" spans="1:11" x14ac:dyDescent="0.35">
      <c r="A1052" t="s">
        <v>168</v>
      </c>
      <c r="B1052">
        <v>10107</v>
      </c>
      <c r="C1052">
        <v>4.0392999999999998E-2</v>
      </c>
      <c r="D1052" s="5">
        <v>1.2502110000000001E-5</v>
      </c>
      <c r="E1052">
        <v>2.2173285000000001E-2</v>
      </c>
      <c r="F1052">
        <v>5.4191999999999997E-2</v>
      </c>
      <c r="G1052" t="s">
        <v>210</v>
      </c>
      <c r="I1052">
        <f t="shared" si="55"/>
        <v>4.0380497889999999E-2</v>
      </c>
      <c r="J1052">
        <f t="shared" si="56"/>
        <v>2.2160782890000001E-2</v>
      </c>
      <c r="K1052">
        <f t="shared" si="57"/>
        <v>5.4179497889999997E-2</v>
      </c>
    </row>
    <row r="1053" spans="1:11" x14ac:dyDescent="0.35">
      <c r="A1053" t="s">
        <v>169</v>
      </c>
      <c r="B1053">
        <v>10107</v>
      </c>
      <c r="C1053">
        <v>-4.3309999999999998E-3</v>
      </c>
      <c r="D1053" s="5">
        <v>1.3057516E-5</v>
      </c>
      <c r="E1053">
        <v>3.2628167E-2</v>
      </c>
      <c r="F1053">
        <v>3.1848000000000001E-2</v>
      </c>
      <c r="G1053" t="s">
        <v>210</v>
      </c>
      <c r="I1053">
        <f t="shared" si="55"/>
        <v>-4.3440575159999998E-3</v>
      </c>
      <c r="J1053">
        <f t="shared" si="56"/>
        <v>3.2615109484000003E-2</v>
      </c>
      <c r="K1053">
        <f t="shared" si="57"/>
        <v>3.1834942484000005E-2</v>
      </c>
    </row>
    <row r="1054" spans="1:11" x14ac:dyDescent="0.35">
      <c r="A1054" t="s">
        <v>170</v>
      </c>
      <c r="B1054">
        <v>10107</v>
      </c>
      <c r="C1054">
        <v>2.9384E-2</v>
      </c>
      <c r="D1054" s="5">
        <v>1.2223941E-5</v>
      </c>
      <c r="E1054">
        <v>2.0500966000000002E-3</v>
      </c>
      <c r="F1054">
        <v>-4.2770000000000004E-3</v>
      </c>
      <c r="G1054" t="s">
        <v>210</v>
      </c>
      <c r="I1054">
        <f t="shared" si="55"/>
        <v>2.9371776059000002E-2</v>
      </c>
      <c r="J1054">
        <f t="shared" si="56"/>
        <v>2.037872659E-3</v>
      </c>
      <c r="K1054">
        <f t="shared" si="57"/>
        <v>-4.2892239410000001E-3</v>
      </c>
    </row>
    <row r="1055" spans="1:11" x14ac:dyDescent="0.35">
      <c r="A1055" t="s">
        <v>171</v>
      </c>
      <c r="B1055">
        <v>10107</v>
      </c>
      <c r="C1055">
        <v>3.9477999999999999E-2</v>
      </c>
      <c r="D1055" s="5">
        <v>2.0088781000000001E-5</v>
      </c>
      <c r="E1055">
        <v>9.6190701999999996E-3</v>
      </c>
      <c r="F1055">
        <v>1.7267000000000001E-2</v>
      </c>
      <c r="G1055" t="s">
        <v>210</v>
      </c>
      <c r="I1055">
        <f t="shared" si="55"/>
        <v>3.9457911218999997E-2</v>
      </c>
      <c r="J1055">
        <f t="shared" si="56"/>
        <v>9.5989814189999991E-3</v>
      </c>
      <c r="K1055">
        <f t="shared" si="57"/>
        <v>1.7246911219000002E-2</v>
      </c>
    </row>
    <row r="1056" spans="1:11" x14ac:dyDescent="0.35">
      <c r="A1056" t="s">
        <v>172</v>
      </c>
      <c r="B1056">
        <v>10107</v>
      </c>
      <c r="C1056">
        <v>2.5853999999999999E-2</v>
      </c>
      <c r="D1056" s="5">
        <v>1.8337871999999999E-5</v>
      </c>
      <c r="E1056">
        <v>9.3579440999999996E-3</v>
      </c>
      <c r="F1056">
        <v>-1.242E-3</v>
      </c>
      <c r="G1056" t="s">
        <v>210</v>
      </c>
      <c r="I1056">
        <f t="shared" si="55"/>
        <v>2.5835662127999998E-2</v>
      </c>
      <c r="J1056">
        <f t="shared" si="56"/>
        <v>9.3396062279999994E-3</v>
      </c>
      <c r="K1056">
        <f t="shared" si="57"/>
        <v>-1.260337872E-3</v>
      </c>
    </row>
    <row r="1057" spans="1:11" x14ac:dyDescent="0.35">
      <c r="A1057" t="s">
        <v>173</v>
      </c>
      <c r="B1057">
        <v>10107</v>
      </c>
      <c r="C1057">
        <v>-1.303E-2</v>
      </c>
      <c r="D1057" s="5">
        <v>2.0282302999999999E-5</v>
      </c>
      <c r="E1057">
        <v>9.6782167000000006E-3</v>
      </c>
      <c r="F1057">
        <v>-2.1555000000000001E-2</v>
      </c>
      <c r="G1057" t="s">
        <v>210</v>
      </c>
      <c r="I1057">
        <f t="shared" si="55"/>
        <v>-1.3050282303E-2</v>
      </c>
      <c r="J1057">
        <f t="shared" si="56"/>
        <v>9.6579343970000005E-3</v>
      </c>
      <c r="K1057">
        <f t="shared" si="57"/>
        <v>-2.1575282303000001E-2</v>
      </c>
    </row>
    <row r="1058" spans="1:11" x14ac:dyDescent="0.35">
      <c r="A1058" t="s">
        <v>174</v>
      </c>
      <c r="B1058">
        <v>10107</v>
      </c>
      <c r="C1058">
        <v>5.4692999999999999E-2</v>
      </c>
      <c r="D1058" s="5">
        <v>2.2784785000000001E-5</v>
      </c>
      <c r="E1058">
        <v>1.7181420999999999E-2</v>
      </c>
      <c r="F1058">
        <v>2.3132E-2</v>
      </c>
      <c r="G1058" t="s">
        <v>210</v>
      </c>
      <c r="I1058">
        <f t="shared" si="55"/>
        <v>5.4670215214999998E-2</v>
      </c>
      <c r="J1058">
        <f t="shared" si="56"/>
        <v>1.7158636214999998E-2</v>
      </c>
      <c r="K1058">
        <f t="shared" si="57"/>
        <v>2.3109215214999999E-2</v>
      </c>
    </row>
    <row r="1059" spans="1:11" x14ac:dyDescent="0.35">
      <c r="A1059" t="s">
        <v>175</v>
      </c>
      <c r="B1059">
        <v>10107</v>
      </c>
      <c r="C1059">
        <v>3.3838E-2</v>
      </c>
      <c r="D1059" s="5">
        <v>2.6814181E-5</v>
      </c>
      <c r="E1059">
        <v>1.6129673E-3</v>
      </c>
      <c r="F1059">
        <v>4.1987999999999998E-2</v>
      </c>
      <c r="G1059" t="s">
        <v>210</v>
      </c>
      <c r="I1059">
        <f t="shared" si="55"/>
        <v>3.3811185819E-2</v>
      </c>
      <c r="J1059">
        <f t="shared" si="56"/>
        <v>1.586153119E-3</v>
      </c>
      <c r="K1059">
        <f t="shared" si="57"/>
        <v>4.1961185818999998E-2</v>
      </c>
    </row>
    <row r="1060" spans="1:11" x14ac:dyDescent="0.35">
      <c r="A1060" t="s">
        <v>176</v>
      </c>
      <c r="B1060">
        <v>10107</v>
      </c>
      <c r="C1060">
        <v>-3.7450000000000001E-3</v>
      </c>
      <c r="D1060" s="5">
        <v>2.4980956E-5</v>
      </c>
      <c r="E1060">
        <v>2.3813292E-2</v>
      </c>
      <c r="F1060">
        <v>-3.3699E-2</v>
      </c>
      <c r="G1060" t="s">
        <v>210</v>
      </c>
      <c r="I1060">
        <f t="shared" si="55"/>
        <v>-3.7699809560000001E-3</v>
      </c>
      <c r="J1060">
        <f t="shared" si="56"/>
        <v>2.3788311044000001E-2</v>
      </c>
      <c r="K1060">
        <f t="shared" si="57"/>
        <v>-3.3723980956000002E-2</v>
      </c>
    </row>
    <row r="1061" spans="1:11" x14ac:dyDescent="0.35">
      <c r="A1061" t="s">
        <v>177</v>
      </c>
      <c r="B1061">
        <v>10107</v>
      </c>
      <c r="C1061">
        <v>0.11666</v>
      </c>
      <c r="D1061" s="5">
        <v>2.6120319999999999E-5</v>
      </c>
      <c r="E1061">
        <v>2.134813E-2</v>
      </c>
      <c r="F1061">
        <v>-7.4850000000000003E-3</v>
      </c>
      <c r="G1061" t="s">
        <v>210</v>
      </c>
      <c r="I1061">
        <f t="shared" si="55"/>
        <v>0.11663387968</v>
      </c>
      <c r="J1061">
        <f t="shared" si="56"/>
        <v>2.132200968E-2</v>
      </c>
      <c r="K1061">
        <f t="shared" si="57"/>
        <v>-7.5111203200000001E-3</v>
      </c>
    </row>
    <row r="1062" spans="1:11" x14ac:dyDescent="0.35">
      <c r="A1062" t="s">
        <v>178</v>
      </c>
      <c r="B1062">
        <v>10107</v>
      </c>
      <c r="C1062">
        <v>1.6951000000000001E-2</v>
      </c>
      <c r="D1062" s="5">
        <v>2.6814181E-5</v>
      </c>
      <c r="E1062">
        <v>2.7409703000000001E-2</v>
      </c>
      <c r="F1062">
        <v>3.5630000000000002E-3</v>
      </c>
      <c r="G1062" t="s">
        <v>210</v>
      </c>
      <c r="I1062">
        <f t="shared" si="55"/>
        <v>1.6924185819000001E-2</v>
      </c>
      <c r="J1062">
        <f t="shared" si="56"/>
        <v>2.7382888819000001E-2</v>
      </c>
      <c r="K1062">
        <f t="shared" si="57"/>
        <v>3.536185819E-3</v>
      </c>
    </row>
    <row r="1063" spans="1:11" x14ac:dyDescent="0.35">
      <c r="A1063" t="s">
        <v>179</v>
      </c>
      <c r="B1063">
        <v>10107</v>
      </c>
      <c r="C1063">
        <v>1.6277E-2</v>
      </c>
      <c r="D1063" s="5">
        <v>3.0985658999999998E-5</v>
      </c>
      <c r="E1063">
        <v>1.2286760000000001E-2</v>
      </c>
      <c r="F1063">
        <v>2.1056999999999999E-2</v>
      </c>
      <c r="G1063" t="s">
        <v>210</v>
      </c>
      <c r="I1063">
        <f t="shared" si="55"/>
        <v>1.6246014340999999E-2</v>
      </c>
      <c r="J1063">
        <f t="shared" si="56"/>
        <v>1.2255774341000001E-2</v>
      </c>
      <c r="K1063">
        <f t="shared" si="57"/>
        <v>2.1026014340999998E-2</v>
      </c>
    </row>
    <row r="1064" spans="1:11" x14ac:dyDescent="0.35">
      <c r="A1064" t="s">
        <v>180</v>
      </c>
      <c r="B1064">
        <v>10107</v>
      </c>
      <c r="C1064">
        <v>0.110708</v>
      </c>
      <c r="D1064" s="5">
        <v>3.4738506999999999E-5</v>
      </c>
      <c r="E1064">
        <v>5.0687826999999998E-2</v>
      </c>
      <c r="F1064">
        <v>3.2349000000000003E-2</v>
      </c>
      <c r="G1064" t="s">
        <v>210</v>
      </c>
      <c r="I1064">
        <f t="shared" si="55"/>
        <v>0.110673261493</v>
      </c>
      <c r="J1064">
        <f t="shared" si="56"/>
        <v>5.0653088493000001E-2</v>
      </c>
      <c r="K1064">
        <f t="shared" si="57"/>
        <v>3.2314261493000006E-2</v>
      </c>
    </row>
    <row r="1065" spans="1:11" x14ac:dyDescent="0.35">
      <c r="A1065" t="s">
        <v>181</v>
      </c>
      <c r="B1065">
        <v>10107</v>
      </c>
      <c r="C1065">
        <v>-8.6309999999999998E-3</v>
      </c>
      <c r="D1065" s="5">
        <v>3.2789600999999998E-5</v>
      </c>
      <c r="E1065">
        <v>-3.9435158999999997E-2</v>
      </c>
      <c r="F1065">
        <v>-2.0760000000000001E-2</v>
      </c>
      <c r="G1065" t="s">
        <v>210</v>
      </c>
      <c r="I1065">
        <f t="shared" si="55"/>
        <v>-8.6637896009999996E-3</v>
      </c>
      <c r="J1065">
        <f t="shared" si="56"/>
        <v>-3.9467948600999996E-2</v>
      </c>
      <c r="K1065">
        <f t="shared" si="57"/>
        <v>-2.0792789601000002E-2</v>
      </c>
    </row>
    <row r="1066" spans="1:11" x14ac:dyDescent="0.35">
      <c r="A1066" t="s">
        <v>182</v>
      </c>
      <c r="B1066">
        <v>10107</v>
      </c>
      <c r="C1066">
        <v>-2.6661000000000001E-2</v>
      </c>
      <c r="D1066" s="5">
        <v>3.7376473999999999E-5</v>
      </c>
      <c r="E1066">
        <v>-1.8494523999999998E-2</v>
      </c>
      <c r="F1066">
        <v>6.3200000000000001E-3</v>
      </c>
      <c r="G1066" t="s">
        <v>210</v>
      </c>
      <c r="I1066">
        <f t="shared" si="55"/>
        <v>-2.6698376474000002E-2</v>
      </c>
      <c r="J1066">
        <f t="shared" si="56"/>
        <v>-1.8531900473999999E-2</v>
      </c>
      <c r="K1066">
        <f t="shared" si="57"/>
        <v>6.2826235259999998E-3</v>
      </c>
    </row>
    <row r="1067" spans="1:11" x14ac:dyDescent="0.35">
      <c r="A1067" t="s">
        <v>183</v>
      </c>
      <c r="B1067">
        <v>10107</v>
      </c>
      <c r="C1067">
        <v>2.4652E-2</v>
      </c>
      <c r="D1067" s="5">
        <v>4.4472123E-5</v>
      </c>
      <c r="E1067">
        <v>4.8402747999999997E-3</v>
      </c>
      <c r="F1067">
        <v>-9.5399999999999999E-3</v>
      </c>
      <c r="G1067" t="s">
        <v>210</v>
      </c>
      <c r="I1067">
        <f t="shared" si="55"/>
        <v>2.4607527877000001E-2</v>
      </c>
      <c r="J1067">
        <f t="shared" si="56"/>
        <v>4.7958026769999995E-3</v>
      </c>
      <c r="K1067">
        <f t="shared" si="57"/>
        <v>-9.5844721229999992E-3</v>
      </c>
    </row>
    <row r="1068" spans="1:11" x14ac:dyDescent="0.35">
      <c r="A1068" t="s">
        <v>184</v>
      </c>
      <c r="B1068">
        <v>10107</v>
      </c>
      <c r="C1068">
        <v>6.1377000000000001E-2</v>
      </c>
      <c r="D1068" s="5">
        <v>4.5024317000000002E-5</v>
      </c>
      <c r="E1068">
        <v>2.6277516000000001E-2</v>
      </c>
      <c r="F1068">
        <v>-1.1958999999999999E-2</v>
      </c>
      <c r="G1068" t="s">
        <v>210</v>
      </c>
      <c r="I1068">
        <f t="shared" si="55"/>
        <v>6.1331975683000001E-2</v>
      </c>
      <c r="J1068">
        <f t="shared" si="56"/>
        <v>2.6232491683E-2</v>
      </c>
      <c r="K1068">
        <f t="shared" si="57"/>
        <v>-1.2004024316999999E-2</v>
      </c>
    </row>
    <row r="1069" spans="1:11" x14ac:dyDescent="0.35">
      <c r="A1069" t="s">
        <v>185</v>
      </c>
      <c r="B1069">
        <v>10107</v>
      </c>
      <c r="C1069">
        <v>-2.3270000000000001E-3</v>
      </c>
      <c r="D1069" s="5">
        <v>4.7670687999999998E-5</v>
      </c>
      <c r="E1069">
        <v>5.2912380000000002E-3</v>
      </c>
      <c r="F1069">
        <v>-3.6149000000000001E-2</v>
      </c>
      <c r="G1069" t="s">
        <v>210</v>
      </c>
      <c r="I1069">
        <f t="shared" si="55"/>
        <v>-2.374670688E-3</v>
      </c>
      <c r="J1069">
        <f t="shared" si="56"/>
        <v>5.2435673119999998E-3</v>
      </c>
      <c r="K1069">
        <f t="shared" si="57"/>
        <v>-3.6196670687999997E-2</v>
      </c>
    </row>
    <row r="1070" spans="1:11" x14ac:dyDescent="0.35">
      <c r="A1070" t="s">
        <v>186</v>
      </c>
      <c r="B1070">
        <v>10107</v>
      </c>
      <c r="C1070">
        <v>7.5753000000000001E-2</v>
      </c>
      <c r="D1070" s="5">
        <v>4.8086759999999999E-5</v>
      </c>
      <c r="E1070">
        <v>3.1689063000000003E-2</v>
      </c>
      <c r="F1070">
        <v>-2.2419000000000001E-2</v>
      </c>
      <c r="G1070" t="s">
        <v>210</v>
      </c>
      <c r="I1070">
        <f t="shared" si="55"/>
        <v>7.5704913240000005E-2</v>
      </c>
      <c r="J1070">
        <f t="shared" si="56"/>
        <v>3.164097624E-2</v>
      </c>
      <c r="K1070">
        <f t="shared" si="57"/>
        <v>-2.2467086760000001E-2</v>
      </c>
    </row>
    <row r="1071" spans="1:11" x14ac:dyDescent="0.35">
      <c r="A1071" t="s">
        <v>187</v>
      </c>
      <c r="B1071">
        <v>10107</v>
      </c>
      <c r="C1071">
        <v>6.2877000000000002E-2</v>
      </c>
      <c r="D1071" s="5">
        <v>5.1975497999999999E-5</v>
      </c>
      <c r="E1071">
        <v>3.0351875E-2</v>
      </c>
      <c r="F1071">
        <v>-2.1381000000000001E-2</v>
      </c>
      <c r="G1071" t="s">
        <v>210</v>
      </c>
      <c r="I1071">
        <f t="shared" si="55"/>
        <v>6.2825024502000004E-2</v>
      </c>
      <c r="J1071">
        <f t="shared" si="56"/>
        <v>3.0299899501999999E-2</v>
      </c>
      <c r="K1071">
        <f t="shared" si="57"/>
        <v>-2.1432975498000002E-2</v>
      </c>
    </row>
    <row r="1072" spans="1:11" x14ac:dyDescent="0.35">
      <c r="A1072" t="s">
        <v>188</v>
      </c>
      <c r="B1072">
        <v>10107</v>
      </c>
      <c r="C1072">
        <v>1.8161E-2</v>
      </c>
      <c r="D1072" s="5">
        <v>5.2954507000000002E-5</v>
      </c>
      <c r="E1072">
        <v>4.7995379999999998E-4</v>
      </c>
      <c r="F1072">
        <v>-6.607E-3</v>
      </c>
      <c r="G1072" t="s">
        <v>210</v>
      </c>
      <c r="I1072">
        <f t="shared" si="55"/>
        <v>1.8108045493000002E-2</v>
      </c>
      <c r="J1072">
        <f t="shared" si="56"/>
        <v>4.2699929299999998E-4</v>
      </c>
      <c r="K1072">
        <f t="shared" si="57"/>
        <v>-6.6599545070000002E-3</v>
      </c>
    </row>
    <row r="1073" spans="1:11" x14ac:dyDescent="0.35">
      <c r="A1073" t="s">
        <v>189</v>
      </c>
      <c r="B1073">
        <v>10107</v>
      </c>
      <c r="C1073">
        <v>-6.6100999999999993E-2</v>
      </c>
      <c r="D1073" s="5">
        <v>5.7961999000000002E-5</v>
      </c>
      <c r="E1073">
        <v>-7.2749645000000002E-2</v>
      </c>
      <c r="F1073">
        <v>2.1194999999999999E-2</v>
      </c>
      <c r="G1073" t="s">
        <v>210</v>
      </c>
      <c r="I1073">
        <f t="shared" si="55"/>
        <v>-6.6158961998999996E-2</v>
      </c>
      <c r="J1073">
        <f t="shared" si="56"/>
        <v>-7.2807606999000005E-2</v>
      </c>
      <c r="K1073">
        <f t="shared" si="57"/>
        <v>2.1137038000999999E-2</v>
      </c>
    </row>
    <row r="1074" spans="1:11" x14ac:dyDescent="0.35">
      <c r="A1074" t="s">
        <v>190</v>
      </c>
      <c r="B1074">
        <v>10107</v>
      </c>
      <c r="C1074">
        <v>4.2505000000000001E-2</v>
      </c>
      <c r="D1074" s="5">
        <v>5.9763279E-5</v>
      </c>
      <c r="E1074">
        <v>4.4112142E-2</v>
      </c>
      <c r="F1074">
        <v>3.3869999999999998E-3</v>
      </c>
      <c r="G1074" t="s">
        <v>210</v>
      </c>
      <c r="I1074">
        <f t="shared" si="55"/>
        <v>4.2445236721E-2</v>
      </c>
      <c r="J1074">
        <f t="shared" si="56"/>
        <v>4.4052378720999999E-2</v>
      </c>
      <c r="K1074">
        <f t="shared" si="57"/>
        <v>3.3272367209999996E-3</v>
      </c>
    </row>
    <row r="1075" spans="1:11" x14ac:dyDescent="0.35">
      <c r="A1075" t="s">
        <v>191</v>
      </c>
      <c r="B1075">
        <v>10107</v>
      </c>
      <c r="C1075">
        <v>-8.4046999999999997E-2</v>
      </c>
      <c r="D1075" s="5">
        <v>6.1300699999999994E-5</v>
      </c>
      <c r="E1075">
        <v>-7.4872575999999996E-2</v>
      </c>
      <c r="F1075">
        <v>4.9419999999999999E-2</v>
      </c>
      <c r="G1075" t="s">
        <v>210</v>
      </c>
      <c r="I1075">
        <f t="shared" si="55"/>
        <v>-8.4108300699999999E-2</v>
      </c>
      <c r="J1075">
        <f t="shared" si="56"/>
        <v>-7.4933876699999999E-2</v>
      </c>
      <c r="K1075">
        <f t="shared" si="57"/>
        <v>4.9358699299999996E-2</v>
      </c>
    </row>
    <row r="1076" spans="1:11" x14ac:dyDescent="0.35">
      <c r="A1076" t="s">
        <v>192</v>
      </c>
      <c r="B1076">
        <v>10107</v>
      </c>
      <c r="C1076">
        <v>2.8157999999999999E-2</v>
      </c>
      <c r="D1076" s="5">
        <v>6.2691921000000006E-5</v>
      </c>
      <c r="E1076">
        <v>8.8008939999999994E-2</v>
      </c>
      <c r="F1076">
        <v>2.8865999999999999E-2</v>
      </c>
      <c r="G1076" t="s">
        <v>210</v>
      </c>
      <c r="I1076">
        <f t="shared" si="55"/>
        <v>2.8095308079E-2</v>
      </c>
      <c r="J1076">
        <f t="shared" si="56"/>
        <v>8.7946248078999992E-2</v>
      </c>
      <c r="K1076">
        <f t="shared" si="57"/>
        <v>2.8803308079000001E-2</v>
      </c>
    </row>
    <row r="1077" spans="1:11" x14ac:dyDescent="0.35">
      <c r="A1077" t="s">
        <v>193</v>
      </c>
      <c r="B1077">
        <v>10107</v>
      </c>
      <c r="C1077">
        <v>7.7181E-2</v>
      </c>
      <c r="D1077" s="5">
        <v>6.5894084000000006E-5</v>
      </c>
      <c r="E1077">
        <v>3.2714512000000001E-2</v>
      </c>
      <c r="F1077">
        <v>-6.0920000000000002E-3</v>
      </c>
      <c r="G1077" t="s">
        <v>210</v>
      </c>
      <c r="I1077">
        <f t="shared" si="55"/>
        <v>7.7115105916000001E-2</v>
      </c>
      <c r="J1077">
        <f t="shared" si="56"/>
        <v>3.2648617916000003E-2</v>
      </c>
      <c r="K1077">
        <f t="shared" si="57"/>
        <v>-6.1578940840000002E-3</v>
      </c>
    </row>
    <row r="1078" spans="1:11" x14ac:dyDescent="0.35">
      <c r="A1078" t="s">
        <v>194</v>
      </c>
      <c r="B1078">
        <v>10107</v>
      </c>
      <c r="C1078">
        <v>5.2754000000000002E-2</v>
      </c>
      <c r="D1078" s="5">
        <v>6.4920080999999997E-5</v>
      </c>
      <c r="E1078">
        <v>1.3366196E-2</v>
      </c>
      <c r="F1078">
        <v>-1.5969000000000001E-2</v>
      </c>
      <c r="G1078" t="s">
        <v>210</v>
      </c>
      <c r="I1078">
        <f t="shared" si="55"/>
        <v>5.2689079919000001E-2</v>
      </c>
      <c r="J1078">
        <f t="shared" si="56"/>
        <v>1.3301275919000001E-2</v>
      </c>
      <c r="K1078">
        <f t="shared" si="57"/>
        <v>-1.6033920081000002E-2</v>
      </c>
    </row>
    <row r="1079" spans="1:11" x14ac:dyDescent="0.35">
      <c r="A1079" t="s">
        <v>195</v>
      </c>
      <c r="B1079">
        <v>10107</v>
      </c>
      <c r="C1079">
        <v>0.10734299999999999</v>
      </c>
      <c r="D1079" s="5">
        <v>6.4361448000000001E-5</v>
      </c>
      <c r="E1079">
        <v>3.7867329999999998E-2</v>
      </c>
      <c r="F1079">
        <v>-6.6389999999999999E-3</v>
      </c>
      <c r="G1079" t="s">
        <v>210</v>
      </c>
      <c r="I1079">
        <f t="shared" si="55"/>
        <v>0.107278638552</v>
      </c>
      <c r="J1079">
        <f t="shared" si="56"/>
        <v>3.7802968552000001E-2</v>
      </c>
      <c r="K1079">
        <f t="shared" si="57"/>
        <v>-6.7033614479999996E-3</v>
      </c>
    </row>
    <row r="1080" spans="1:11" x14ac:dyDescent="0.35">
      <c r="A1080" t="s">
        <v>196</v>
      </c>
      <c r="B1080">
        <v>10107</v>
      </c>
      <c r="C1080">
        <v>-4.9464000000000001E-2</v>
      </c>
      <c r="D1080" s="5">
        <v>6.5744126999999993E-5</v>
      </c>
      <c r="E1080">
        <v>-6.1593663E-2</v>
      </c>
      <c r="F1080">
        <v>1.7573999999999999E-2</v>
      </c>
      <c r="G1080" t="s">
        <v>210</v>
      </c>
      <c r="I1080">
        <f t="shared" si="55"/>
        <v>-4.9529744127000001E-2</v>
      </c>
      <c r="J1080">
        <f t="shared" si="56"/>
        <v>-6.1659407127E-2</v>
      </c>
      <c r="K1080">
        <f t="shared" si="57"/>
        <v>1.7508255872999999E-2</v>
      </c>
    </row>
    <row r="1081" spans="1:11" x14ac:dyDescent="0.35">
      <c r="A1081" t="s">
        <v>197</v>
      </c>
      <c r="B1081">
        <v>10107</v>
      </c>
      <c r="C1081">
        <v>8.3117999999999997E-2</v>
      </c>
      <c r="D1081" s="5">
        <v>6.2413674000000004E-5</v>
      </c>
      <c r="E1081">
        <v>6.7385903999999996E-2</v>
      </c>
      <c r="F1081">
        <v>8.0029000000000003E-2</v>
      </c>
      <c r="G1081" t="s">
        <v>210</v>
      </c>
      <c r="I1081">
        <f t="shared" si="55"/>
        <v>8.3055586325999992E-2</v>
      </c>
      <c r="J1081">
        <f t="shared" si="56"/>
        <v>6.7323490325999991E-2</v>
      </c>
      <c r="K1081">
        <f t="shared" si="57"/>
        <v>7.9966586325999997E-2</v>
      </c>
    </row>
    <row r="1082" spans="1:11" x14ac:dyDescent="0.35">
      <c r="A1082" t="s">
        <v>198</v>
      </c>
      <c r="B1082">
        <v>10107</v>
      </c>
      <c r="C1082">
        <v>1.7243999999999999E-2</v>
      </c>
      <c r="D1082" s="5">
        <v>5.4067222999999999E-5</v>
      </c>
      <c r="E1082">
        <v>1.3151872E-2</v>
      </c>
      <c r="F1082">
        <v>7.4999999999999993E-5</v>
      </c>
      <c r="G1082" t="s">
        <v>210</v>
      </c>
      <c r="I1082">
        <f t="shared" si="55"/>
        <v>1.7189932777000001E-2</v>
      </c>
      <c r="J1082">
        <f t="shared" si="56"/>
        <v>1.3097804777E-2</v>
      </c>
      <c r="K1082">
        <f t="shared" si="57"/>
        <v>2.0932776999999994E-5</v>
      </c>
    </row>
    <row r="1083" spans="1:11" x14ac:dyDescent="0.35">
      <c r="A1083" t="s">
        <v>199</v>
      </c>
      <c r="B1083">
        <v>10107</v>
      </c>
      <c r="C1083">
        <v>1.5044E-2</v>
      </c>
      <c r="D1083" s="5">
        <v>5.5450476999999997E-5</v>
      </c>
      <c r="E1083">
        <v>-2.0256182000000001E-2</v>
      </c>
      <c r="F1083">
        <v>7.9122999999999999E-2</v>
      </c>
      <c r="G1083" t="s">
        <v>210</v>
      </c>
      <c r="I1083">
        <f t="shared" si="55"/>
        <v>1.4988549523E-2</v>
      </c>
      <c r="J1083">
        <f t="shared" si="56"/>
        <v>-2.0311632477000002E-2</v>
      </c>
      <c r="K1083">
        <f t="shared" si="57"/>
        <v>7.9067549523000005E-2</v>
      </c>
    </row>
    <row r="1084" spans="1:11" x14ac:dyDescent="0.35">
      <c r="A1084" t="s">
        <v>200</v>
      </c>
      <c r="B1084">
        <v>10107</v>
      </c>
      <c r="C1084">
        <v>8.4869999999999998E-3</v>
      </c>
      <c r="D1084" s="5">
        <v>5.3928131999999997E-5</v>
      </c>
      <c r="E1084">
        <v>1.5959764000000001E-2</v>
      </c>
      <c r="F1084">
        <v>-3.3947999999999999E-2</v>
      </c>
      <c r="G1084" t="s">
        <v>210</v>
      </c>
      <c r="I1084">
        <f t="shared" si="55"/>
        <v>8.4330718680000003E-3</v>
      </c>
      <c r="J1084">
        <f t="shared" si="56"/>
        <v>1.5905835868000002E-2</v>
      </c>
      <c r="K1084">
        <f t="shared" si="57"/>
        <v>-3.4001928132000002E-2</v>
      </c>
    </row>
    <row r="1085" spans="1:11" x14ac:dyDescent="0.35">
      <c r="A1085" t="s">
        <v>201</v>
      </c>
      <c r="B1085">
        <v>10107</v>
      </c>
      <c r="C1085">
        <v>3.1216000000000001E-2</v>
      </c>
      <c r="D1085" s="5">
        <v>4.7833000000000001E-5</v>
      </c>
      <c r="E1085">
        <v>2.0895692E-2</v>
      </c>
      <c r="F1085">
        <v>2.5635000000000002E-2</v>
      </c>
      <c r="G1085" t="s">
        <v>210</v>
      </c>
      <c r="I1085">
        <f t="shared" ref="I1085:I1147" si="58">C1085-D1085</f>
        <v>3.1168167E-2</v>
      </c>
      <c r="J1085">
        <f t="shared" ref="J1085:J1147" si="59">E1085-D1085</f>
        <v>2.0847859E-2</v>
      </c>
      <c r="K1085">
        <f t="shared" ref="K1085:K1147" si="60">F1085-D1085</f>
        <v>2.5587167000000001E-2</v>
      </c>
    </row>
    <row r="1086" spans="1:11" x14ac:dyDescent="0.35">
      <c r="A1086" t="s">
        <v>202</v>
      </c>
      <c r="B1086">
        <v>10107</v>
      </c>
      <c r="C1086">
        <v>5.9427000000000001E-2</v>
      </c>
      <c r="D1086" s="5">
        <v>4.0996583E-5</v>
      </c>
      <c r="E1086">
        <v>3.6646235999999999E-2</v>
      </c>
      <c r="F1086">
        <v>-3.2086000000000003E-2</v>
      </c>
      <c r="G1086" t="s">
        <v>210</v>
      </c>
      <c r="I1086">
        <f t="shared" si="58"/>
        <v>5.9386003417000004E-2</v>
      </c>
      <c r="J1086">
        <f t="shared" si="59"/>
        <v>3.6605239417000002E-2</v>
      </c>
      <c r="K1086">
        <f t="shared" si="60"/>
        <v>-3.2126996583E-2</v>
      </c>
    </row>
    <row r="1087" spans="1:11" x14ac:dyDescent="0.35">
      <c r="A1087" t="s">
        <v>203</v>
      </c>
      <c r="B1087">
        <v>10107</v>
      </c>
      <c r="C1087">
        <v>4.1749000000000001E-2</v>
      </c>
      <c r="D1087" s="5">
        <v>4.2802500999999998E-5</v>
      </c>
      <c r="E1087">
        <v>2.8492387000000001E-2</v>
      </c>
      <c r="F1087">
        <v>3.6559000000000001E-2</v>
      </c>
      <c r="G1087" t="s">
        <v>210</v>
      </c>
      <c r="I1087">
        <f t="shared" si="58"/>
        <v>4.1706197499000001E-2</v>
      </c>
      <c r="J1087">
        <f t="shared" si="59"/>
        <v>2.8449584499000001E-2</v>
      </c>
      <c r="K1087">
        <f t="shared" si="60"/>
        <v>3.6516197499000001E-2</v>
      </c>
    </row>
    <row r="1089" spans="1:11" x14ac:dyDescent="0.35">
      <c r="A1089" t="s">
        <v>23</v>
      </c>
      <c r="B1089">
        <v>10104</v>
      </c>
      <c r="C1089">
        <v>3.6440000000000001E-3</v>
      </c>
      <c r="D1089" s="5">
        <v>4.7948841000000003E-5</v>
      </c>
      <c r="E1089">
        <v>-2.6517817999999999E-2</v>
      </c>
      <c r="F1089">
        <v>-3.6073000000000001E-2</v>
      </c>
      <c r="G1089" t="s">
        <v>211</v>
      </c>
      <c r="I1089">
        <f t="shared" si="58"/>
        <v>3.5960511590000001E-3</v>
      </c>
      <c r="J1089">
        <f t="shared" si="59"/>
        <v>-2.6565766841E-2</v>
      </c>
      <c r="K1089">
        <f t="shared" si="60"/>
        <v>-3.6120948840999999E-2</v>
      </c>
    </row>
    <row r="1090" spans="1:11" x14ac:dyDescent="0.35">
      <c r="A1090" t="s">
        <v>25</v>
      </c>
      <c r="B1090">
        <v>10104</v>
      </c>
      <c r="C1090">
        <v>-5.9549999999999999E-2</v>
      </c>
      <c r="D1090" s="5">
        <v>5.5244941999999998E-5</v>
      </c>
      <c r="E1090">
        <v>2.2697801E-2</v>
      </c>
      <c r="F1090">
        <v>3.0790999999999999E-2</v>
      </c>
      <c r="G1090" t="s">
        <v>211</v>
      </c>
      <c r="I1090">
        <f t="shared" si="58"/>
        <v>-5.9605244942000001E-2</v>
      </c>
      <c r="J1090">
        <f t="shared" si="59"/>
        <v>2.2642556058000002E-2</v>
      </c>
      <c r="K1090">
        <f t="shared" si="60"/>
        <v>3.0735755058000001E-2</v>
      </c>
    </row>
    <row r="1091" spans="1:11" x14ac:dyDescent="0.35">
      <c r="A1091" t="s">
        <v>26</v>
      </c>
      <c r="B1091">
        <v>10104</v>
      </c>
      <c r="C1091">
        <v>-3.6292999999999999E-2</v>
      </c>
      <c r="D1091" s="5">
        <v>6.8319866999999999E-5</v>
      </c>
      <c r="E1091">
        <v>-1.6850591000000002E-2</v>
      </c>
      <c r="F1091">
        <v>-1.6084999999999999E-2</v>
      </c>
      <c r="G1091" t="s">
        <v>211</v>
      </c>
      <c r="I1091">
        <f t="shared" si="58"/>
        <v>-3.6361319866999996E-2</v>
      </c>
      <c r="J1091">
        <f t="shared" si="59"/>
        <v>-1.6918910867000002E-2</v>
      </c>
      <c r="K1091">
        <f t="shared" si="60"/>
        <v>-1.6153319866999999E-2</v>
      </c>
    </row>
    <row r="1092" spans="1:11" x14ac:dyDescent="0.35">
      <c r="A1092" t="s">
        <v>27</v>
      </c>
      <c r="B1092">
        <v>10104</v>
      </c>
      <c r="C1092">
        <v>-7.3718000000000006E-2</v>
      </c>
      <c r="D1092" s="5">
        <v>7.1599496999999996E-5</v>
      </c>
      <c r="E1092">
        <v>-2.5221592000000001E-2</v>
      </c>
      <c r="F1092">
        <v>1.2377000000000001E-2</v>
      </c>
      <c r="G1092" t="s">
        <v>211</v>
      </c>
      <c r="I1092">
        <f t="shared" si="58"/>
        <v>-7.3789599497000008E-2</v>
      </c>
      <c r="J1092">
        <f t="shared" si="59"/>
        <v>-2.5293191497E-2</v>
      </c>
      <c r="K1092">
        <f t="shared" si="60"/>
        <v>1.2305400503E-2</v>
      </c>
    </row>
    <row r="1093" spans="1:11" x14ac:dyDescent="0.35">
      <c r="A1093" t="s">
        <v>28</v>
      </c>
      <c r="B1093">
        <v>10104</v>
      </c>
      <c r="C1093">
        <v>0.107266</v>
      </c>
      <c r="D1093" s="5">
        <v>7.3475609999999999E-5</v>
      </c>
      <c r="E1093">
        <v>3.7993193000000001E-2</v>
      </c>
      <c r="F1093">
        <v>-3.9216000000000001E-2</v>
      </c>
      <c r="G1093" t="s">
        <v>211</v>
      </c>
      <c r="I1093">
        <f t="shared" si="58"/>
        <v>0.10719252439</v>
      </c>
      <c r="J1093">
        <f t="shared" si="59"/>
        <v>3.7919717390000003E-2</v>
      </c>
      <c r="K1093">
        <f t="shared" si="60"/>
        <v>-3.9289475609999999E-2</v>
      </c>
    </row>
    <row r="1094" spans="1:11" x14ac:dyDescent="0.35">
      <c r="A1094" t="s">
        <v>29</v>
      </c>
      <c r="B1094">
        <v>10104</v>
      </c>
      <c r="C1094">
        <v>3.125E-2</v>
      </c>
      <c r="D1094" s="5">
        <v>7.5899545000000004E-5</v>
      </c>
      <c r="E1094">
        <v>1.1474352E-2</v>
      </c>
      <c r="F1094">
        <v>4.2977000000000001E-2</v>
      </c>
      <c r="G1094" t="s">
        <v>211</v>
      </c>
      <c r="I1094">
        <f t="shared" si="58"/>
        <v>3.1174100454999999E-2</v>
      </c>
      <c r="J1094">
        <f t="shared" si="59"/>
        <v>1.1398452454999999E-2</v>
      </c>
      <c r="K1094">
        <f t="shared" si="60"/>
        <v>4.2901100455000001E-2</v>
      </c>
    </row>
    <row r="1095" spans="1:11" x14ac:dyDescent="0.35">
      <c r="A1095" t="s">
        <v>30</v>
      </c>
      <c r="B1095">
        <v>10104</v>
      </c>
      <c r="C1095">
        <v>2.8029999999999999E-2</v>
      </c>
      <c r="D1095" s="5">
        <v>8.1133752000000001E-5</v>
      </c>
      <c r="E1095">
        <v>4.3326780000000002E-2</v>
      </c>
      <c r="F1095">
        <v>-1.4272999999999999E-2</v>
      </c>
      <c r="G1095" t="s">
        <v>211</v>
      </c>
      <c r="I1095">
        <f t="shared" si="58"/>
        <v>2.7948866247999998E-2</v>
      </c>
      <c r="J1095">
        <f t="shared" si="59"/>
        <v>4.3245646248000001E-2</v>
      </c>
      <c r="K1095">
        <f t="shared" si="60"/>
        <v>-1.4354133751999999E-2</v>
      </c>
    </row>
    <row r="1096" spans="1:11" x14ac:dyDescent="0.35">
      <c r="A1096" t="s">
        <v>31</v>
      </c>
      <c r="B1096">
        <v>10104</v>
      </c>
      <c r="C1096">
        <v>-4.2741000000000001E-2</v>
      </c>
      <c r="D1096" s="5">
        <v>8.8369225999999999E-5</v>
      </c>
      <c r="E1096">
        <v>-6.0141183999999999E-3</v>
      </c>
      <c r="F1096">
        <v>1.3545E-2</v>
      </c>
      <c r="G1096" t="s">
        <v>211</v>
      </c>
      <c r="I1096">
        <f t="shared" si="58"/>
        <v>-4.2829369226000003E-2</v>
      </c>
      <c r="J1096">
        <f t="shared" si="59"/>
        <v>-6.1024876260000003E-3</v>
      </c>
      <c r="K1096">
        <f t="shared" si="60"/>
        <v>1.3456630774E-2</v>
      </c>
    </row>
    <row r="1097" spans="1:11" x14ac:dyDescent="0.35">
      <c r="A1097" t="s">
        <v>32</v>
      </c>
      <c r="B1097">
        <v>10104</v>
      </c>
      <c r="C1097">
        <v>-4.5420000000000002E-2</v>
      </c>
      <c r="D1097" s="5">
        <v>9.2246314999999999E-5</v>
      </c>
      <c r="E1097">
        <v>1.0593396999999999E-2</v>
      </c>
      <c r="F1097">
        <v>7.6036999999999993E-2</v>
      </c>
      <c r="G1097" t="s">
        <v>211</v>
      </c>
      <c r="I1097">
        <f t="shared" si="58"/>
        <v>-4.5512246315000005E-2</v>
      </c>
      <c r="J1097">
        <f t="shared" si="59"/>
        <v>1.0501150684999998E-2</v>
      </c>
      <c r="K1097">
        <f t="shared" si="60"/>
        <v>7.5944753684999991E-2</v>
      </c>
    </row>
    <row r="1098" spans="1:11" x14ac:dyDescent="0.35">
      <c r="A1098" t="s">
        <v>33</v>
      </c>
      <c r="B1098">
        <v>10104</v>
      </c>
      <c r="C1098">
        <v>2.2581E-2</v>
      </c>
      <c r="D1098" s="5">
        <v>8.5793734000000005E-5</v>
      </c>
      <c r="E1098">
        <v>-1.3740894999999999E-2</v>
      </c>
      <c r="F1098">
        <v>-6.424E-3</v>
      </c>
      <c r="G1098" t="s">
        <v>211</v>
      </c>
      <c r="I1098">
        <f t="shared" si="58"/>
        <v>2.2495206266E-2</v>
      </c>
      <c r="J1098">
        <f t="shared" si="59"/>
        <v>-1.3826688734E-2</v>
      </c>
      <c r="K1098">
        <f t="shared" si="60"/>
        <v>-6.5097937340000004E-3</v>
      </c>
    </row>
    <row r="1099" spans="1:11" x14ac:dyDescent="0.35">
      <c r="A1099" t="s">
        <v>34</v>
      </c>
      <c r="B1099">
        <v>10104</v>
      </c>
      <c r="C1099">
        <v>-6.3090000000000004E-3</v>
      </c>
      <c r="D1099" s="5">
        <v>1.0221382E-4</v>
      </c>
      <c r="E1099">
        <v>3.4165464E-2</v>
      </c>
      <c r="F1099">
        <v>5.8189999999999999E-2</v>
      </c>
      <c r="G1099" t="s">
        <v>211</v>
      </c>
      <c r="I1099">
        <f t="shared" si="58"/>
        <v>-6.41121382E-3</v>
      </c>
      <c r="J1099">
        <f t="shared" si="59"/>
        <v>3.4063250179999997E-2</v>
      </c>
      <c r="K1099">
        <f t="shared" si="60"/>
        <v>5.8087786179999996E-2</v>
      </c>
    </row>
    <row r="1100" spans="1:11" x14ac:dyDescent="0.35">
      <c r="A1100" t="s">
        <v>35</v>
      </c>
      <c r="B1100">
        <v>10104</v>
      </c>
      <c r="C1100">
        <v>-3.0952E-2</v>
      </c>
      <c r="D1100" s="5">
        <v>1.0811459E-4</v>
      </c>
      <c r="E1100">
        <v>3.4972754999999999E-3</v>
      </c>
      <c r="F1100">
        <v>5.0508999999999998E-2</v>
      </c>
      <c r="G1100" t="s">
        <v>211</v>
      </c>
      <c r="I1100">
        <f t="shared" si="58"/>
        <v>-3.106011459E-2</v>
      </c>
      <c r="J1100">
        <f t="shared" si="59"/>
        <v>3.3891609099999998E-3</v>
      </c>
      <c r="K1100">
        <f t="shared" si="60"/>
        <v>5.0400885409999999E-2</v>
      </c>
    </row>
    <row r="1101" spans="1:11" x14ac:dyDescent="0.35">
      <c r="A1101" t="s">
        <v>36</v>
      </c>
      <c r="B1101">
        <v>10104</v>
      </c>
      <c r="C1101">
        <v>2.9484E-2</v>
      </c>
      <c r="D1101" s="5">
        <v>1.0946717E-4</v>
      </c>
      <c r="E1101">
        <v>4.0057152999999998E-2</v>
      </c>
      <c r="F1101">
        <v>9.9263000000000004E-2</v>
      </c>
      <c r="G1101" t="s">
        <v>211</v>
      </c>
      <c r="I1101">
        <f t="shared" si="58"/>
        <v>2.9374532830000001E-2</v>
      </c>
      <c r="J1101">
        <f t="shared" si="59"/>
        <v>3.9947685829999996E-2</v>
      </c>
      <c r="K1101">
        <f t="shared" si="60"/>
        <v>9.9153532830000002E-2</v>
      </c>
    </row>
    <row r="1102" spans="1:11" x14ac:dyDescent="0.35">
      <c r="A1102" t="s">
        <v>37</v>
      </c>
      <c r="B1102">
        <v>10104</v>
      </c>
      <c r="C1102">
        <v>-1.1932999999999999E-2</v>
      </c>
      <c r="D1102" s="5">
        <v>1.1473459E-4</v>
      </c>
      <c r="E1102">
        <v>-1.6283552E-3</v>
      </c>
      <c r="F1102">
        <v>-1.1110999999999999E-2</v>
      </c>
      <c r="G1102" t="s">
        <v>211</v>
      </c>
      <c r="I1102">
        <f t="shared" si="58"/>
        <v>-1.2047734589999999E-2</v>
      </c>
      <c r="J1102">
        <f t="shared" si="59"/>
        <v>-1.7430897900000001E-3</v>
      </c>
      <c r="K1102">
        <f t="shared" si="60"/>
        <v>-1.122573459E-2</v>
      </c>
    </row>
    <row r="1103" spans="1:11" x14ac:dyDescent="0.35">
      <c r="A1103" t="s">
        <v>38</v>
      </c>
      <c r="B1103">
        <v>10104</v>
      </c>
      <c r="C1103">
        <v>0.102254</v>
      </c>
      <c r="D1103" s="5">
        <v>1.2225505E-4</v>
      </c>
      <c r="E1103">
        <v>1.8970178000000001E-2</v>
      </c>
      <c r="F1103">
        <v>3.6205000000000001E-2</v>
      </c>
      <c r="G1103" t="s">
        <v>211</v>
      </c>
      <c r="I1103">
        <f t="shared" si="58"/>
        <v>0.10213174494999999</v>
      </c>
      <c r="J1103">
        <f t="shared" si="59"/>
        <v>1.8847922950000002E-2</v>
      </c>
      <c r="K1103">
        <f t="shared" si="60"/>
        <v>3.6082744950000002E-2</v>
      </c>
    </row>
    <row r="1104" spans="1:11" x14ac:dyDescent="0.35">
      <c r="A1104" t="s">
        <v>39</v>
      </c>
      <c r="B1104">
        <v>10104</v>
      </c>
      <c r="C1104">
        <v>6.5740999999999994E-2</v>
      </c>
      <c r="D1104" s="5">
        <v>1.2702313E-4</v>
      </c>
      <c r="E1104">
        <v>1.3077589000000001E-2</v>
      </c>
      <c r="F1104">
        <v>0.12031</v>
      </c>
      <c r="G1104" t="s">
        <v>211</v>
      </c>
      <c r="I1104">
        <f t="shared" si="58"/>
        <v>6.5613976869999993E-2</v>
      </c>
      <c r="J1104">
        <f t="shared" si="59"/>
        <v>1.295056587E-2</v>
      </c>
      <c r="K1104">
        <f t="shared" si="60"/>
        <v>0.12018297687</v>
      </c>
    </row>
    <row r="1105" spans="1:11" x14ac:dyDescent="0.35">
      <c r="A1105" t="s">
        <v>40</v>
      </c>
      <c r="B1105">
        <v>10104</v>
      </c>
      <c r="C1105">
        <v>-2.5360000000000001E-2</v>
      </c>
      <c r="D1105" s="5">
        <v>1.2549012999999999E-4</v>
      </c>
      <c r="E1105">
        <v>-3.10251E-2</v>
      </c>
      <c r="F1105">
        <v>-1.3212E-2</v>
      </c>
      <c r="G1105" t="s">
        <v>211</v>
      </c>
      <c r="I1105">
        <f t="shared" si="58"/>
        <v>-2.548549013E-2</v>
      </c>
      <c r="J1105">
        <f t="shared" si="59"/>
        <v>-3.1150590129999999E-2</v>
      </c>
      <c r="K1105">
        <f t="shared" si="60"/>
        <v>-1.3337490129999999E-2</v>
      </c>
    </row>
    <row r="1106" spans="1:11" x14ac:dyDescent="0.35">
      <c r="A1106" t="s">
        <v>41</v>
      </c>
      <c r="B1106">
        <v>10104</v>
      </c>
      <c r="C1106">
        <v>1.8987E-2</v>
      </c>
      <c r="D1106" s="5">
        <v>1.2976839000000001E-4</v>
      </c>
      <c r="E1106">
        <v>-3.1822989999999999E-4</v>
      </c>
      <c r="F1106">
        <v>-4.6706999999999999E-2</v>
      </c>
      <c r="G1106" t="s">
        <v>211</v>
      </c>
      <c r="I1106">
        <f t="shared" si="58"/>
        <v>1.8857231610000001E-2</v>
      </c>
      <c r="J1106">
        <f t="shared" si="59"/>
        <v>-4.4799829E-4</v>
      </c>
      <c r="K1106">
        <f t="shared" si="60"/>
        <v>-4.6836768389999998E-2</v>
      </c>
    </row>
    <row r="1107" spans="1:11" x14ac:dyDescent="0.35">
      <c r="A1107" t="s">
        <v>42</v>
      </c>
      <c r="B1107">
        <v>10104</v>
      </c>
      <c r="C1107">
        <v>3.3126000000000003E-2</v>
      </c>
      <c r="D1107" s="5">
        <v>1.2228312999999999E-4</v>
      </c>
      <c r="E1107">
        <v>-9.6833464000000008E-3</v>
      </c>
      <c r="F1107">
        <v>3.1521E-2</v>
      </c>
      <c r="G1107" t="s">
        <v>211</v>
      </c>
      <c r="I1107">
        <f t="shared" si="58"/>
        <v>3.3003716870000005E-2</v>
      </c>
      <c r="J1107">
        <f t="shared" si="59"/>
        <v>-9.8056295300000002E-3</v>
      </c>
      <c r="K1107">
        <f t="shared" si="60"/>
        <v>3.1398716870000003E-2</v>
      </c>
    </row>
    <row r="1108" spans="1:11" x14ac:dyDescent="0.35">
      <c r="A1108" t="s">
        <v>43</v>
      </c>
      <c r="B1108">
        <v>10104</v>
      </c>
      <c r="C1108">
        <v>4.6092000000000001E-2</v>
      </c>
      <c r="D1108" s="5">
        <v>1.3703064E-4</v>
      </c>
      <c r="E1108">
        <v>2.5151808000000001E-2</v>
      </c>
      <c r="F1108">
        <v>-1.3775000000000001E-2</v>
      </c>
      <c r="G1108" t="s">
        <v>211</v>
      </c>
      <c r="I1108">
        <f t="shared" si="58"/>
        <v>4.595496936E-2</v>
      </c>
      <c r="J1108">
        <f t="shared" si="59"/>
        <v>2.501477736E-2</v>
      </c>
      <c r="K1108">
        <f t="shared" si="60"/>
        <v>-1.3912030640000001E-2</v>
      </c>
    </row>
    <row r="1109" spans="1:11" x14ac:dyDescent="0.35">
      <c r="A1109" t="s">
        <v>44</v>
      </c>
      <c r="B1109">
        <v>10104</v>
      </c>
      <c r="C1109">
        <v>0.132822</v>
      </c>
      <c r="D1109" s="5">
        <v>1.3985681000000001E-4</v>
      </c>
      <c r="E1109">
        <v>1.9410975E-2</v>
      </c>
      <c r="F1109">
        <v>-4.5272E-2</v>
      </c>
      <c r="G1109" t="s">
        <v>211</v>
      </c>
      <c r="I1109">
        <f t="shared" si="58"/>
        <v>0.13268214318999999</v>
      </c>
      <c r="J1109">
        <f t="shared" si="59"/>
        <v>1.9271118190000002E-2</v>
      </c>
      <c r="K1109">
        <f t="shared" si="60"/>
        <v>-4.5411856809999998E-2</v>
      </c>
    </row>
    <row r="1110" spans="1:11" x14ac:dyDescent="0.35">
      <c r="A1110" t="s">
        <v>45</v>
      </c>
      <c r="B1110">
        <v>10104</v>
      </c>
      <c r="C1110">
        <v>4.1149999999999999E-2</v>
      </c>
      <c r="D1110" s="5">
        <v>1.2507204999999999E-4</v>
      </c>
      <c r="E1110">
        <v>3.4900713999999999E-2</v>
      </c>
      <c r="F1110">
        <v>1.2947999999999999E-2</v>
      </c>
      <c r="G1110" t="s">
        <v>211</v>
      </c>
      <c r="I1110">
        <f t="shared" si="58"/>
        <v>4.1024927949999998E-2</v>
      </c>
      <c r="J1110">
        <f t="shared" si="59"/>
        <v>3.4775641949999998E-2</v>
      </c>
      <c r="K1110">
        <f t="shared" si="60"/>
        <v>1.282292795E-2</v>
      </c>
    </row>
    <row r="1111" spans="1:11" x14ac:dyDescent="0.35">
      <c r="A1111" t="s">
        <v>46</v>
      </c>
      <c r="B1111">
        <v>10104</v>
      </c>
      <c r="C1111">
        <v>3.1401999999999999E-2</v>
      </c>
      <c r="D1111" s="5">
        <v>1.4148996E-4</v>
      </c>
      <c r="E1111">
        <v>2.5525862E-2</v>
      </c>
      <c r="F1111">
        <v>6.8890999999999994E-2</v>
      </c>
      <c r="G1111" t="s">
        <v>211</v>
      </c>
      <c r="I1111">
        <f t="shared" si="58"/>
        <v>3.1260510040000002E-2</v>
      </c>
      <c r="J1111">
        <f t="shared" si="59"/>
        <v>2.5384372039999999E-2</v>
      </c>
      <c r="K1111">
        <f t="shared" si="60"/>
        <v>6.8749510039999989E-2</v>
      </c>
    </row>
    <row r="1112" spans="1:11" x14ac:dyDescent="0.35">
      <c r="A1112" t="s">
        <v>47</v>
      </c>
      <c r="B1112">
        <v>10104</v>
      </c>
      <c r="C1112">
        <v>-0.100262</v>
      </c>
      <c r="D1112" s="5">
        <v>1.4320338999999999E-4</v>
      </c>
      <c r="E1112">
        <v>1.0861081E-2</v>
      </c>
      <c r="F1112">
        <v>-1.8325999999999999E-2</v>
      </c>
      <c r="G1112" t="s">
        <v>211</v>
      </c>
      <c r="I1112">
        <f t="shared" si="58"/>
        <v>-0.10040520339</v>
      </c>
      <c r="J1112">
        <f t="shared" si="59"/>
        <v>1.0717877609999999E-2</v>
      </c>
      <c r="K1112">
        <f t="shared" si="60"/>
        <v>-1.8469203389999998E-2</v>
      </c>
    </row>
    <row r="1113" spans="1:11" x14ac:dyDescent="0.35">
      <c r="A1113" t="s">
        <v>48</v>
      </c>
      <c r="B1113">
        <v>10104</v>
      </c>
      <c r="C1113">
        <v>1.1670000000000001E-3</v>
      </c>
      <c r="D1113" s="5">
        <v>1.2932273999999999E-4</v>
      </c>
      <c r="E1113">
        <v>1.9592070999999999E-2</v>
      </c>
      <c r="F1113">
        <v>2.5628999999999999E-2</v>
      </c>
      <c r="G1113" t="s">
        <v>211</v>
      </c>
      <c r="I1113">
        <f t="shared" si="58"/>
        <v>1.0376772600000001E-3</v>
      </c>
      <c r="J1113">
        <f t="shared" si="59"/>
        <v>1.9462748259999999E-2</v>
      </c>
      <c r="K1113">
        <f t="shared" si="60"/>
        <v>2.5499677259999999E-2</v>
      </c>
    </row>
    <row r="1114" spans="1:11" x14ac:dyDescent="0.35">
      <c r="A1114" t="s">
        <v>49</v>
      </c>
      <c r="B1114">
        <v>10104</v>
      </c>
      <c r="C1114">
        <v>-4.2541000000000002E-2</v>
      </c>
      <c r="D1114" s="5">
        <v>1.3506156E-4</v>
      </c>
      <c r="E1114">
        <v>-1.4020795000000001E-2</v>
      </c>
      <c r="F1114">
        <v>2.5451000000000001E-2</v>
      </c>
      <c r="G1114" t="s">
        <v>211</v>
      </c>
      <c r="I1114">
        <f t="shared" si="58"/>
        <v>-4.2676061559999999E-2</v>
      </c>
      <c r="J1114">
        <f t="shared" si="59"/>
        <v>-1.4155856560000001E-2</v>
      </c>
      <c r="K1114">
        <f t="shared" si="60"/>
        <v>2.5315938440000001E-2</v>
      </c>
    </row>
    <row r="1115" spans="1:11" x14ac:dyDescent="0.35">
      <c r="A1115" t="s">
        <v>50</v>
      </c>
      <c r="B1115">
        <v>10104</v>
      </c>
      <c r="C1115">
        <v>0.10346900000000001</v>
      </c>
      <c r="D1115" s="5">
        <v>1.4202721999999999E-4</v>
      </c>
      <c r="E1115">
        <v>1.2952416E-2</v>
      </c>
      <c r="F1115">
        <v>-1.1131E-2</v>
      </c>
      <c r="G1115" t="s">
        <v>211</v>
      </c>
      <c r="I1115">
        <f t="shared" si="58"/>
        <v>0.10332697278000001</v>
      </c>
      <c r="J1115">
        <f t="shared" si="59"/>
        <v>1.2810388779999999E-2</v>
      </c>
      <c r="K1115">
        <f t="shared" si="60"/>
        <v>-1.1273027220000001E-2</v>
      </c>
    </row>
    <row r="1116" spans="1:11" x14ac:dyDescent="0.35">
      <c r="A1116" t="s">
        <v>51</v>
      </c>
      <c r="B1116">
        <v>10104</v>
      </c>
      <c r="C1116">
        <v>3.6955000000000002E-2</v>
      </c>
      <c r="D1116" s="5">
        <v>1.3845289999999999E-4</v>
      </c>
      <c r="E1116">
        <v>3.9758044999999999E-2</v>
      </c>
      <c r="F1116">
        <v>2.0535000000000001E-2</v>
      </c>
      <c r="G1116" t="s">
        <v>211</v>
      </c>
      <c r="I1116">
        <f t="shared" si="58"/>
        <v>3.6816547099999999E-2</v>
      </c>
      <c r="J1116">
        <f t="shared" si="59"/>
        <v>3.9619592099999996E-2</v>
      </c>
      <c r="K1116">
        <f t="shared" si="60"/>
        <v>2.0396547100000002E-2</v>
      </c>
    </row>
    <row r="1117" spans="1:11" x14ac:dyDescent="0.35">
      <c r="A1117" t="s">
        <v>52</v>
      </c>
      <c r="B1117">
        <v>10104</v>
      </c>
      <c r="C1117">
        <v>3.0851E-2</v>
      </c>
      <c r="D1117" s="5">
        <v>1.3034255E-4</v>
      </c>
      <c r="E1117">
        <v>3.8909490999999997E-2</v>
      </c>
      <c r="F1117">
        <v>-2.3102999999999999E-2</v>
      </c>
      <c r="G1117" t="s">
        <v>211</v>
      </c>
      <c r="I1117">
        <f t="shared" si="58"/>
        <v>3.0720657450000001E-2</v>
      </c>
      <c r="J1117">
        <f t="shared" si="59"/>
        <v>3.8779148449999995E-2</v>
      </c>
      <c r="K1117">
        <f t="shared" si="60"/>
        <v>-2.3233342549999998E-2</v>
      </c>
    </row>
    <row r="1118" spans="1:11" x14ac:dyDescent="0.35">
      <c r="A1118" t="s">
        <v>53</v>
      </c>
      <c r="B1118">
        <v>10104</v>
      </c>
      <c r="C1118">
        <v>1.7028000000000001E-2</v>
      </c>
      <c r="D1118" s="5">
        <v>1.3037657E-4</v>
      </c>
      <c r="E1118">
        <v>-1.4821285E-2</v>
      </c>
      <c r="F1118">
        <v>-1.9377999999999999E-2</v>
      </c>
      <c r="G1118" t="s">
        <v>211</v>
      </c>
      <c r="I1118">
        <f t="shared" si="58"/>
        <v>1.6897623430000001E-2</v>
      </c>
      <c r="J1118">
        <f t="shared" si="59"/>
        <v>-1.495166157E-2</v>
      </c>
      <c r="K1118">
        <f t="shared" si="60"/>
        <v>-1.9508376569999999E-2</v>
      </c>
    </row>
    <row r="1119" spans="1:11" x14ac:dyDescent="0.35">
      <c r="A1119" t="s">
        <v>54</v>
      </c>
      <c r="B1119">
        <v>10104</v>
      </c>
      <c r="C1119">
        <v>-2.9933999999999999E-2</v>
      </c>
      <c r="D1119" s="5">
        <v>1.1670869E-4</v>
      </c>
      <c r="E1119">
        <v>-3.1721417000000002E-2</v>
      </c>
      <c r="F1119">
        <v>2.3650000000000001E-2</v>
      </c>
      <c r="G1119" t="s">
        <v>211</v>
      </c>
      <c r="I1119">
        <f t="shared" si="58"/>
        <v>-3.005070869E-2</v>
      </c>
      <c r="J1119">
        <f t="shared" si="59"/>
        <v>-3.1838125690000003E-2</v>
      </c>
      <c r="K1119">
        <f t="shared" si="60"/>
        <v>2.3533291309999999E-2</v>
      </c>
    </row>
    <row r="1120" spans="1:11" x14ac:dyDescent="0.35">
      <c r="A1120" t="s">
        <v>55</v>
      </c>
      <c r="B1120">
        <v>10104</v>
      </c>
      <c r="C1120">
        <v>6.0669000000000001E-2</v>
      </c>
      <c r="D1120" s="5">
        <v>1.3702123999999999E-4</v>
      </c>
      <c r="E1120">
        <v>1.169362E-2</v>
      </c>
      <c r="F1120">
        <v>1.1096E-2</v>
      </c>
      <c r="G1120" t="s">
        <v>211</v>
      </c>
      <c r="I1120">
        <f t="shared" si="58"/>
        <v>6.0531978760000001E-2</v>
      </c>
      <c r="J1120">
        <f t="shared" si="59"/>
        <v>1.155659876E-2</v>
      </c>
      <c r="K1120">
        <f t="shared" si="60"/>
        <v>1.095897876E-2</v>
      </c>
    </row>
    <row r="1121" spans="1:11" x14ac:dyDescent="0.35">
      <c r="A1121" t="s">
        <v>56</v>
      </c>
      <c r="B1121">
        <v>10104</v>
      </c>
      <c r="C1121">
        <v>6.7554000000000003E-2</v>
      </c>
      <c r="D1121" s="5">
        <v>1.1455195999999999E-4</v>
      </c>
      <c r="E1121">
        <v>4.0834490000000001E-2</v>
      </c>
      <c r="F1121">
        <v>0.10508099999999999</v>
      </c>
      <c r="G1121" t="s">
        <v>211</v>
      </c>
      <c r="I1121">
        <f t="shared" si="58"/>
        <v>6.7439448040000002E-2</v>
      </c>
      <c r="J1121">
        <f t="shared" si="59"/>
        <v>4.0719938040000001E-2</v>
      </c>
      <c r="K1121">
        <f t="shared" si="60"/>
        <v>0.10496644803999999</v>
      </c>
    </row>
    <row r="1122" spans="1:11" x14ac:dyDescent="0.35">
      <c r="A1122" t="s">
        <v>57</v>
      </c>
      <c r="B1122">
        <v>10104</v>
      </c>
      <c r="C1122">
        <v>2.4018000000000001E-2</v>
      </c>
      <c r="D1122" s="5">
        <v>9.2476468E-5</v>
      </c>
      <c r="E1122">
        <v>2.8808464999999998E-2</v>
      </c>
      <c r="F1122">
        <v>6.9514000000000006E-2</v>
      </c>
      <c r="G1122" t="s">
        <v>211</v>
      </c>
      <c r="I1122">
        <f t="shared" si="58"/>
        <v>2.3925523532E-2</v>
      </c>
      <c r="J1122">
        <f t="shared" si="59"/>
        <v>2.8715988531999997E-2</v>
      </c>
      <c r="K1122">
        <f t="shared" si="60"/>
        <v>6.9421523532000012E-2</v>
      </c>
    </row>
    <row r="1123" spans="1:11" x14ac:dyDescent="0.35">
      <c r="A1123" t="s">
        <v>58</v>
      </c>
      <c r="B1123">
        <v>10104</v>
      </c>
      <c r="C1123">
        <v>-8.9760999999999994E-2</v>
      </c>
      <c r="D1123" s="5">
        <v>1.066585E-4</v>
      </c>
      <c r="E1123">
        <v>-3.5230382999999997E-2</v>
      </c>
      <c r="F1123">
        <v>-1.6535000000000001E-2</v>
      </c>
      <c r="G1123" t="s">
        <v>211</v>
      </c>
      <c r="I1123">
        <f t="shared" si="58"/>
        <v>-8.9867658499999989E-2</v>
      </c>
      <c r="J1123">
        <f t="shared" si="59"/>
        <v>-3.5337041499999999E-2</v>
      </c>
      <c r="K1123">
        <f t="shared" si="60"/>
        <v>-1.66416585E-2</v>
      </c>
    </row>
    <row r="1124" spans="1:11" x14ac:dyDescent="0.35">
      <c r="A1124" t="s">
        <v>59</v>
      </c>
      <c r="B1124">
        <v>10104</v>
      </c>
      <c r="C1124">
        <v>0.11892999999999999</v>
      </c>
      <c r="D1124" s="5">
        <v>1.0027451E-4</v>
      </c>
      <c r="E1124">
        <v>-4.3625202999999996E-3</v>
      </c>
      <c r="F1124">
        <v>6.6476999999999994E-2</v>
      </c>
      <c r="G1124" t="s">
        <v>211</v>
      </c>
      <c r="I1124">
        <f t="shared" si="58"/>
        <v>0.11882972549</v>
      </c>
      <c r="J1124">
        <f t="shared" si="59"/>
        <v>-4.4627948099999993E-3</v>
      </c>
      <c r="K1124">
        <f t="shared" si="60"/>
        <v>6.6376725489999996E-2</v>
      </c>
    </row>
    <row r="1125" spans="1:11" x14ac:dyDescent="0.35">
      <c r="A1125" t="s">
        <v>60</v>
      </c>
      <c r="B1125">
        <v>10104</v>
      </c>
      <c r="C1125">
        <v>-8.9902999999999997E-2</v>
      </c>
      <c r="D1125" s="5">
        <v>7.2702277999999997E-5</v>
      </c>
      <c r="E1125">
        <v>-6.2072418999999997E-2</v>
      </c>
      <c r="F1125">
        <v>0.108416</v>
      </c>
      <c r="G1125" t="s">
        <v>211</v>
      </c>
      <c r="I1125">
        <f t="shared" si="58"/>
        <v>-8.9975702278000003E-2</v>
      </c>
      <c r="J1125">
        <f t="shared" si="59"/>
        <v>-6.2145121277999996E-2</v>
      </c>
      <c r="K1125">
        <f t="shared" si="60"/>
        <v>0.10834329772199999</v>
      </c>
    </row>
    <row r="1126" spans="1:11" x14ac:dyDescent="0.35">
      <c r="A1126" t="s">
        <v>61</v>
      </c>
      <c r="B1126">
        <v>10104</v>
      </c>
      <c r="C1126">
        <v>-8.5157999999999998E-2</v>
      </c>
      <c r="D1126" s="5">
        <v>4.3220585000000003E-5</v>
      </c>
      <c r="E1126">
        <v>-2.1622278000000002E-2</v>
      </c>
      <c r="F1126">
        <v>5.2297999999999997E-2</v>
      </c>
      <c r="G1126" t="s">
        <v>211</v>
      </c>
      <c r="I1126">
        <f t="shared" si="58"/>
        <v>-8.5201220585000001E-2</v>
      </c>
      <c r="J1126">
        <f t="shared" si="59"/>
        <v>-2.1665498585000002E-2</v>
      </c>
      <c r="K1126">
        <f t="shared" si="60"/>
        <v>5.2254779414999994E-2</v>
      </c>
    </row>
    <row r="1127" spans="1:11" x14ac:dyDescent="0.35">
      <c r="A1127" t="s">
        <v>62</v>
      </c>
      <c r="B1127">
        <v>10104</v>
      </c>
      <c r="C1127">
        <v>4.0425999999999997E-2</v>
      </c>
      <c r="D1127" s="5">
        <v>5.6849163000000003E-5</v>
      </c>
      <c r="E1127">
        <v>-1.0335677999999999E-2</v>
      </c>
      <c r="F1127">
        <v>-5.9991999999999997E-2</v>
      </c>
      <c r="G1127" t="s">
        <v>211</v>
      </c>
      <c r="I1127">
        <f t="shared" si="58"/>
        <v>4.0369150836999997E-2</v>
      </c>
      <c r="J1127">
        <f t="shared" si="59"/>
        <v>-1.0392527162999999E-2</v>
      </c>
      <c r="K1127">
        <f t="shared" si="60"/>
        <v>-6.0048849162999997E-2</v>
      </c>
    </row>
    <row r="1128" spans="1:11" x14ac:dyDescent="0.35">
      <c r="A1128" t="s">
        <v>63</v>
      </c>
      <c r="B1128">
        <v>10104</v>
      </c>
      <c r="C1128">
        <v>6.5950999999999996E-2</v>
      </c>
      <c r="D1128" s="5">
        <v>3.2929674E-5</v>
      </c>
      <c r="E1128">
        <v>5.1065567999999999E-2</v>
      </c>
      <c r="F1128">
        <v>-4.1588E-2</v>
      </c>
      <c r="G1128" t="s">
        <v>211</v>
      </c>
      <c r="I1128">
        <f t="shared" si="58"/>
        <v>6.5918070326E-2</v>
      </c>
      <c r="J1128">
        <f t="shared" si="59"/>
        <v>5.1032638325999996E-2</v>
      </c>
      <c r="K1128">
        <f t="shared" si="60"/>
        <v>-4.1620929674000003E-2</v>
      </c>
    </row>
    <row r="1129" spans="1:11" x14ac:dyDescent="0.35">
      <c r="A1129" t="s">
        <v>64</v>
      </c>
      <c r="B1129">
        <v>10104</v>
      </c>
      <c r="C1129">
        <v>9.5444000000000001E-2</v>
      </c>
      <c r="D1129" s="5">
        <v>2.903705E-5</v>
      </c>
      <c r="E1129">
        <v>2.3818125999999998E-2</v>
      </c>
      <c r="F1129">
        <v>9.2320000000000006E-3</v>
      </c>
      <c r="G1129" t="s">
        <v>211</v>
      </c>
      <c r="I1129">
        <f t="shared" si="58"/>
        <v>9.5414962950000001E-2</v>
      </c>
      <c r="J1129">
        <f t="shared" si="59"/>
        <v>2.3789088949999999E-2</v>
      </c>
      <c r="K1129">
        <f t="shared" si="60"/>
        <v>9.2029629500000008E-3</v>
      </c>
    </row>
    <row r="1130" spans="1:11" x14ac:dyDescent="0.35">
      <c r="A1130" t="s">
        <v>65</v>
      </c>
      <c r="B1130">
        <v>10104</v>
      </c>
      <c r="C1130">
        <v>-8.0560000000000007E-2</v>
      </c>
      <c r="D1130" s="5">
        <v>5.4623592999999997E-5</v>
      </c>
      <c r="E1130">
        <v>-7.8533299000000001E-2</v>
      </c>
      <c r="F1130">
        <v>4.5169000000000001E-2</v>
      </c>
      <c r="G1130" t="s">
        <v>211</v>
      </c>
      <c r="I1130">
        <f t="shared" si="58"/>
        <v>-8.0614623593000007E-2</v>
      </c>
      <c r="J1130">
        <f t="shared" si="59"/>
        <v>-7.8587922593000001E-2</v>
      </c>
      <c r="K1130">
        <f t="shared" si="60"/>
        <v>4.5114376407000001E-2</v>
      </c>
    </row>
    <row r="1131" spans="1:11" x14ac:dyDescent="0.35">
      <c r="A1131" t="s">
        <v>66</v>
      </c>
      <c r="B1131">
        <v>10104</v>
      </c>
      <c r="C1131">
        <v>2.5238E-2</v>
      </c>
      <c r="D1131" s="5">
        <v>4.1826541000000002E-5</v>
      </c>
      <c r="E1131">
        <v>-1.3053237000000001E-2</v>
      </c>
      <c r="F1131">
        <v>-1.4442E-2</v>
      </c>
      <c r="G1131" t="s">
        <v>211</v>
      </c>
      <c r="I1131">
        <f t="shared" si="58"/>
        <v>2.5196173459E-2</v>
      </c>
      <c r="J1131">
        <f t="shared" si="59"/>
        <v>-1.3095063541000001E-2</v>
      </c>
      <c r="K1131">
        <f t="shared" si="60"/>
        <v>-1.4483826541E-2</v>
      </c>
    </row>
    <row r="1132" spans="1:11" x14ac:dyDescent="0.35">
      <c r="A1132" t="s">
        <v>67</v>
      </c>
      <c r="B1132">
        <v>10104</v>
      </c>
      <c r="C1132">
        <v>1.8578999999999998E-2</v>
      </c>
      <c r="D1132" s="5">
        <v>4.1830043999999998E-5</v>
      </c>
      <c r="E1132">
        <v>1.0535574000000001E-2</v>
      </c>
      <c r="F1132">
        <v>-9.2917E-2</v>
      </c>
      <c r="G1132" t="s">
        <v>211</v>
      </c>
      <c r="I1132">
        <f t="shared" si="58"/>
        <v>1.8537169955999997E-2</v>
      </c>
      <c r="J1132">
        <f t="shared" si="59"/>
        <v>1.0493743956000001E-2</v>
      </c>
      <c r="K1132">
        <f t="shared" si="60"/>
        <v>-9.2958830044000004E-2</v>
      </c>
    </row>
    <row r="1133" spans="1:11" x14ac:dyDescent="0.35">
      <c r="A1133" t="s">
        <v>68</v>
      </c>
      <c r="B1133">
        <v>10104</v>
      </c>
      <c r="C1133">
        <v>-7.3871000000000006E-2</v>
      </c>
      <c r="D1133" s="5">
        <v>4.4332078999999998E-5</v>
      </c>
      <c r="E1133">
        <v>-9.8912783000000004E-2</v>
      </c>
      <c r="F1133">
        <v>4.1120999999999998E-2</v>
      </c>
      <c r="G1133" t="s">
        <v>211</v>
      </c>
      <c r="I1133">
        <f t="shared" si="58"/>
        <v>-7.3915332079000001E-2</v>
      </c>
      <c r="J1133">
        <f t="shared" si="59"/>
        <v>-9.8957115078999999E-2</v>
      </c>
      <c r="K1133">
        <f t="shared" si="60"/>
        <v>4.1076667920999996E-2</v>
      </c>
    </row>
    <row r="1134" spans="1:11" x14ac:dyDescent="0.35">
      <c r="A1134" t="s">
        <v>69</v>
      </c>
      <c r="B1134">
        <v>10104</v>
      </c>
      <c r="C1134">
        <v>-9.9458000000000005E-2</v>
      </c>
      <c r="D1134" s="5">
        <v>1.54194E-5</v>
      </c>
      <c r="E1134">
        <v>-0.26823696000000002</v>
      </c>
      <c r="F1134">
        <v>-0.16139700000000001</v>
      </c>
      <c r="G1134" t="s">
        <v>211</v>
      </c>
      <c r="I1134">
        <f t="shared" si="58"/>
        <v>-9.9473419399999999E-2</v>
      </c>
      <c r="J1134">
        <f t="shared" si="59"/>
        <v>-0.26825237940000002</v>
      </c>
      <c r="K1134">
        <f t="shared" si="60"/>
        <v>-0.16141241940000001</v>
      </c>
    </row>
    <row r="1135" spans="1:11" x14ac:dyDescent="0.35">
      <c r="A1135" t="s">
        <v>70</v>
      </c>
      <c r="B1135">
        <v>10104</v>
      </c>
      <c r="C1135">
        <v>-0.120284</v>
      </c>
      <c r="D1135" s="5">
        <v>3.4029399E-6</v>
      </c>
      <c r="E1135">
        <v>-6.0760938E-2</v>
      </c>
      <c r="F1135">
        <v>0.12573599999999999</v>
      </c>
      <c r="G1135" t="s">
        <v>211</v>
      </c>
      <c r="I1135">
        <f t="shared" si="58"/>
        <v>-0.12028740293990001</v>
      </c>
      <c r="J1135">
        <f t="shared" si="59"/>
        <v>-6.0764340939899998E-2</v>
      </c>
      <c r="K1135">
        <f t="shared" si="60"/>
        <v>0.12573259706009998</v>
      </c>
    </row>
    <row r="1136" spans="1:11" x14ac:dyDescent="0.35">
      <c r="A1136" t="s">
        <v>71</v>
      </c>
      <c r="B1136">
        <v>10104</v>
      </c>
      <c r="C1136">
        <v>0.101927</v>
      </c>
      <c r="D1136" s="5">
        <v>9.7223551000000005E-7</v>
      </c>
      <c r="E1136">
        <v>2.2324005000000001E-2</v>
      </c>
      <c r="F1136">
        <v>7.7325000000000005E-2</v>
      </c>
      <c r="G1136" t="s">
        <v>211</v>
      </c>
      <c r="I1136">
        <f t="shared" si="58"/>
        <v>0.10192602776449</v>
      </c>
      <c r="J1136">
        <f t="shared" si="59"/>
        <v>2.2323032764490002E-2</v>
      </c>
      <c r="K1136">
        <f t="shared" si="60"/>
        <v>7.7324027764490003E-2</v>
      </c>
    </row>
    <row r="1137" spans="1:11" x14ac:dyDescent="0.35">
      <c r="A1137" t="s">
        <v>72</v>
      </c>
      <c r="B1137">
        <v>10104</v>
      </c>
      <c r="C1137">
        <v>-5.0761000000000001E-2</v>
      </c>
      <c r="D1137" s="5">
        <v>4.1666856999999999E-7</v>
      </c>
      <c r="E1137">
        <v>-7.8490331999999996E-2</v>
      </c>
      <c r="F1137">
        <v>5.5363000000000002E-2</v>
      </c>
      <c r="G1137" t="s">
        <v>211</v>
      </c>
      <c r="I1137">
        <f t="shared" si="58"/>
        <v>-5.0761416668570002E-2</v>
      </c>
      <c r="J1137">
        <f t="shared" si="59"/>
        <v>-7.849074866856999E-2</v>
      </c>
      <c r="K1137">
        <f t="shared" si="60"/>
        <v>5.5362583331430001E-2</v>
      </c>
    </row>
    <row r="1138" spans="1:11" x14ac:dyDescent="0.35">
      <c r="A1138" t="s">
        <v>73</v>
      </c>
      <c r="B1138">
        <v>10104</v>
      </c>
      <c r="C1138">
        <v>-7.6648999999999995E-2</v>
      </c>
      <c r="D1138" s="5">
        <v>4.1669009000000002E-6</v>
      </c>
      <c r="E1138">
        <v>-0.10050758</v>
      </c>
      <c r="F1138">
        <v>1.4456E-2</v>
      </c>
      <c r="G1138" t="s">
        <v>211</v>
      </c>
      <c r="I1138">
        <f t="shared" si="58"/>
        <v>-7.6653166900899988E-2</v>
      </c>
      <c r="J1138">
        <f t="shared" si="59"/>
        <v>-0.10051174690089999</v>
      </c>
      <c r="K1138">
        <f t="shared" si="60"/>
        <v>1.44518330991E-2</v>
      </c>
    </row>
    <row r="1139" spans="1:11" x14ac:dyDescent="0.35">
      <c r="A1139" t="s">
        <v>74</v>
      </c>
      <c r="B1139">
        <v>10104</v>
      </c>
      <c r="C1139">
        <v>0.16280600000000001</v>
      </c>
      <c r="D1139" s="5">
        <v>4.4447111E-6</v>
      </c>
      <c r="E1139">
        <v>8.7015814999999996E-2</v>
      </c>
      <c r="F1139">
        <v>-2.537E-2</v>
      </c>
      <c r="G1139" t="s">
        <v>211</v>
      </c>
      <c r="I1139">
        <f t="shared" si="58"/>
        <v>0.1628015552889</v>
      </c>
      <c r="J1139">
        <f t="shared" si="59"/>
        <v>8.7011370288899992E-2</v>
      </c>
      <c r="K1139">
        <f t="shared" si="60"/>
        <v>-2.5374444711100001E-2</v>
      </c>
    </row>
    <row r="1140" spans="1:11" x14ac:dyDescent="0.35">
      <c r="A1140" t="s">
        <v>75</v>
      </c>
      <c r="B1140">
        <v>10104</v>
      </c>
      <c r="C1140">
        <v>7.3049000000000003E-2</v>
      </c>
      <c r="D1140" s="5">
        <v>3.7501618E-6</v>
      </c>
      <c r="E1140">
        <v>0.10942493</v>
      </c>
      <c r="F1140">
        <v>-3.3341000000000003E-2</v>
      </c>
      <c r="G1140" t="s">
        <v>211</v>
      </c>
      <c r="I1140">
        <f t="shared" si="58"/>
        <v>7.3045249838200002E-2</v>
      </c>
      <c r="J1140">
        <f t="shared" si="59"/>
        <v>0.1094211798382</v>
      </c>
      <c r="K1140">
        <f t="shared" si="60"/>
        <v>-3.3344750161800003E-2</v>
      </c>
    </row>
    <row r="1141" spans="1:11" x14ac:dyDescent="0.35">
      <c r="A1141" t="s">
        <v>76</v>
      </c>
      <c r="B1141">
        <v>10104</v>
      </c>
      <c r="C1141">
        <v>1.2926999999999999E-2</v>
      </c>
      <c r="D1141" s="5">
        <v>1.2500218999999999E-6</v>
      </c>
      <c r="E1141">
        <v>6.7855342999999999E-2</v>
      </c>
      <c r="F1141">
        <v>0.102326</v>
      </c>
      <c r="G1141" t="s">
        <v>211</v>
      </c>
      <c r="I1141">
        <f t="shared" si="58"/>
        <v>1.2925749978099999E-2</v>
      </c>
      <c r="J1141">
        <f t="shared" si="59"/>
        <v>6.7854092978099995E-2</v>
      </c>
      <c r="K1141">
        <f t="shared" si="60"/>
        <v>0.1023247499781</v>
      </c>
    </row>
    <row r="1142" spans="1:11" x14ac:dyDescent="0.35">
      <c r="A1142" t="s">
        <v>77</v>
      </c>
      <c r="B1142">
        <v>10104</v>
      </c>
      <c r="C1142">
        <v>9.3414999999999998E-2</v>
      </c>
      <c r="D1142" s="5">
        <v>4.1669009000000002E-6</v>
      </c>
      <c r="E1142">
        <v>-3.0959923999999998E-3</v>
      </c>
      <c r="F1142">
        <v>-5.2183E-2</v>
      </c>
      <c r="G1142" t="s">
        <v>211</v>
      </c>
      <c r="I1142">
        <f t="shared" si="58"/>
        <v>9.3410833099100005E-2</v>
      </c>
      <c r="J1142">
        <f t="shared" si="59"/>
        <v>-3.1001593008999997E-3</v>
      </c>
      <c r="K1142">
        <f t="shared" si="60"/>
        <v>-5.2187166900900001E-2</v>
      </c>
    </row>
    <row r="1143" spans="1:11" x14ac:dyDescent="0.35">
      <c r="A1143" t="s">
        <v>78</v>
      </c>
      <c r="B1143">
        <v>10104</v>
      </c>
      <c r="C1143">
        <v>3.5480999999999999E-2</v>
      </c>
      <c r="D1143" s="5">
        <v>3.472361E-6</v>
      </c>
      <c r="E1143">
        <v>8.1810951000000007E-2</v>
      </c>
      <c r="F1143">
        <v>2.3799000000000001E-2</v>
      </c>
      <c r="G1143" t="s">
        <v>211</v>
      </c>
      <c r="I1143">
        <f t="shared" si="58"/>
        <v>3.5477527639000001E-2</v>
      </c>
      <c r="J1143">
        <f t="shared" si="59"/>
        <v>8.1807478639000009E-2</v>
      </c>
      <c r="K1143">
        <f t="shared" si="60"/>
        <v>2.3795527638999999E-2</v>
      </c>
    </row>
    <row r="1144" spans="1:11" x14ac:dyDescent="0.35">
      <c r="A1144" t="s">
        <v>79</v>
      </c>
      <c r="B1144">
        <v>10104</v>
      </c>
      <c r="C1144">
        <v>-1.1297E-2</v>
      </c>
      <c r="D1144" s="5">
        <v>3.7501898E-6</v>
      </c>
      <c r="E1144">
        <v>3.1335082E-2</v>
      </c>
      <c r="F1144">
        <v>5.3600000000000002E-4</v>
      </c>
      <c r="G1144" t="s">
        <v>211</v>
      </c>
      <c r="I1144">
        <f t="shared" si="58"/>
        <v>-1.13007501898E-2</v>
      </c>
      <c r="J1144">
        <f t="shared" si="59"/>
        <v>3.1331331810200001E-2</v>
      </c>
      <c r="K1144">
        <f t="shared" si="60"/>
        <v>5.3224981020000002E-4</v>
      </c>
    </row>
    <row r="1145" spans="1:11" x14ac:dyDescent="0.35">
      <c r="A1145" t="s">
        <v>80</v>
      </c>
      <c r="B1145">
        <v>10104</v>
      </c>
      <c r="C1145">
        <v>-4.7531999999999998E-2</v>
      </c>
      <c r="D1145" s="5">
        <v>3.4723669000000002E-6</v>
      </c>
      <c r="E1145">
        <v>4.5273893000000003E-2</v>
      </c>
      <c r="F1145">
        <v>5.8351E-2</v>
      </c>
      <c r="G1145" t="s">
        <v>211</v>
      </c>
      <c r="I1145">
        <f t="shared" si="58"/>
        <v>-4.7535472366899999E-2</v>
      </c>
      <c r="J1145">
        <f t="shared" si="59"/>
        <v>4.5270420633100002E-2</v>
      </c>
      <c r="K1145">
        <f t="shared" si="60"/>
        <v>5.8347527633099999E-2</v>
      </c>
    </row>
    <row r="1146" spans="1:11" x14ac:dyDescent="0.35">
      <c r="A1146" t="s">
        <v>81</v>
      </c>
      <c r="B1146">
        <v>10104</v>
      </c>
      <c r="C1146">
        <v>1.4874999999999999E-2</v>
      </c>
      <c r="D1146" s="5">
        <v>1.2500171000000001E-6</v>
      </c>
      <c r="E1146">
        <v>-3.1813566000000001E-2</v>
      </c>
      <c r="F1146">
        <v>3.7227999999999997E-2</v>
      </c>
      <c r="G1146" t="s">
        <v>211</v>
      </c>
      <c r="I1146">
        <f t="shared" si="58"/>
        <v>1.48737499829E-2</v>
      </c>
      <c r="J1146">
        <f t="shared" si="59"/>
        <v>-3.1814816017100005E-2</v>
      </c>
      <c r="K1146">
        <f t="shared" si="60"/>
        <v>3.7226749982899994E-2</v>
      </c>
    </row>
    <row r="1147" spans="1:11" x14ac:dyDescent="0.35">
      <c r="A1147" t="s">
        <v>82</v>
      </c>
      <c r="B1147">
        <v>10104</v>
      </c>
      <c r="C1147">
        <v>4.6445E-2</v>
      </c>
      <c r="D1147" s="5">
        <v>8.3334305000000002E-7</v>
      </c>
      <c r="E1147">
        <v>5.1395169999999997E-2</v>
      </c>
      <c r="F1147">
        <v>0.12786500000000001</v>
      </c>
      <c r="G1147" t="s">
        <v>211</v>
      </c>
      <c r="I1147">
        <f t="shared" si="58"/>
        <v>4.6444166656950003E-2</v>
      </c>
      <c r="J1147">
        <f t="shared" si="59"/>
        <v>5.139433665695E-2</v>
      </c>
      <c r="K1147">
        <f t="shared" si="60"/>
        <v>0.12786416665695</v>
      </c>
    </row>
    <row r="1148" spans="1:11" x14ac:dyDescent="0.35">
      <c r="A1148" t="s">
        <v>83</v>
      </c>
      <c r="B1148">
        <v>10104</v>
      </c>
      <c r="C1148">
        <v>0.11096</v>
      </c>
      <c r="D1148" s="5">
        <v>2.5000749999999999E-6</v>
      </c>
      <c r="E1148">
        <v>2.8345333E-2</v>
      </c>
      <c r="F1148">
        <v>-7.2034000000000001E-2</v>
      </c>
      <c r="G1148" t="s">
        <v>211</v>
      </c>
      <c r="I1148">
        <f t="shared" ref="I1148:I1211" si="61">C1148-D1148</f>
        <v>0.11095749992500001</v>
      </c>
      <c r="J1148">
        <f t="shared" ref="J1148:J1211" si="62">E1148-D1148</f>
        <v>2.8342832925000002E-2</v>
      </c>
      <c r="K1148">
        <f t="shared" ref="K1148:K1211" si="63">F1148-D1148</f>
        <v>-7.2036500074999996E-2</v>
      </c>
    </row>
    <row r="1149" spans="1:11" x14ac:dyDescent="0.35">
      <c r="A1149" t="s">
        <v>84</v>
      </c>
      <c r="B1149">
        <v>10104</v>
      </c>
      <c r="C1149">
        <v>-5.7888000000000002E-2</v>
      </c>
      <c r="D1149" s="5">
        <v>1.5278105E-6</v>
      </c>
      <c r="E1149">
        <v>-3.7133395999999999E-2</v>
      </c>
      <c r="F1149">
        <v>-1.2579999999999999E-2</v>
      </c>
      <c r="G1149" t="s">
        <v>211</v>
      </c>
      <c r="I1149">
        <f t="shared" si="61"/>
        <v>-5.7889527810500004E-2</v>
      </c>
      <c r="J1149">
        <f t="shared" si="62"/>
        <v>-3.7134923810500001E-2</v>
      </c>
      <c r="K1149">
        <f t="shared" si="63"/>
        <v>-1.2581527810499999E-2</v>
      </c>
    </row>
    <row r="1150" spans="1:11" x14ac:dyDescent="0.35">
      <c r="A1150" t="s">
        <v>85</v>
      </c>
      <c r="B1150">
        <v>10104</v>
      </c>
      <c r="C1150">
        <v>6.8950999999999998E-2</v>
      </c>
      <c r="D1150" s="5">
        <v>4.1666901999999998E-7</v>
      </c>
      <c r="E1150">
        <v>3.4774009000000002E-2</v>
      </c>
      <c r="F1150">
        <v>3.2747999999999999E-2</v>
      </c>
      <c r="G1150" t="s">
        <v>211</v>
      </c>
      <c r="I1150">
        <f t="shared" si="61"/>
        <v>6.8950583330980003E-2</v>
      </c>
      <c r="J1150">
        <f t="shared" si="62"/>
        <v>3.4773592330979999E-2</v>
      </c>
      <c r="K1150">
        <f t="shared" si="63"/>
        <v>3.2747583330979997E-2</v>
      </c>
    </row>
    <row r="1151" spans="1:11" x14ac:dyDescent="0.35">
      <c r="A1151" t="s">
        <v>86</v>
      </c>
      <c r="B1151">
        <v>10104</v>
      </c>
      <c r="C1151">
        <v>4.3001999999999999E-2</v>
      </c>
      <c r="D1151" s="5">
        <v>2.6389829999999998E-6</v>
      </c>
      <c r="E1151">
        <v>6.3639558999999998E-2</v>
      </c>
      <c r="F1151">
        <v>-4.3860000000000001E-3</v>
      </c>
      <c r="G1151" t="s">
        <v>211</v>
      </c>
      <c r="I1151">
        <f t="shared" si="61"/>
        <v>4.2999361016999998E-2</v>
      </c>
      <c r="J1151">
        <f t="shared" si="62"/>
        <v>6.3636920016999998E-2</v>
      </c>
      <c r="K1151">
        <f t="shared" si="63"/>
        <v>-4.3886389830000002E-3</v>
      </c>
    </row>
    <row r="1152" spans="1:11" x14ac:dyDescent="0.35">
      <c r="A1152" t="s">
        <v>87</v>
      </c>
      <c r="B1152">
        <v>10104</v>
      </c>
      <c r="C1152">
        <v>8.071E-3</v>
      </c>
      <c r="D1152" s="5">
        <v>4.0279559999999999E-6</v>
      </c>
      <c r="E1152">
        <v>2.0069690000000001E-2</v>
      </c>
      <c r="F1152">
        <v>5.8833999999999997E-2</v>
      </c>
      <c r="G1152" t="s">
        <v>211</v>
      </c>
      <c r="I1152">
        <f t="shared" si="61"/>
        <v>8.0669720440000002E-3</v>
      </c>
      <c r="J1152">
        <f t="shared" si="62"/>
        <v>2.0065662044E-2</v>
      </c>
      <c r="K1152">
        <f t="shared" si="63"/>
        <v>5.8829972043999999E-2</v>
      </c>
    </row>
    <row r="1153" spans="1:11" x14ac:dyDescent="0.35">
      <c r="A1153" t="s">
        <v>88</v>
      </c>
      <c r="B1153">
        <v>10104</v>
      </c>
      <c r="C1153">
        <v>-0.12747700000000001</v>
      </c>
      <c r="D1153" s="5">
        <v>4.1669009000000002E-6</v>
      </c>
      <c r="E1153">
        <v>-7.9213500000000006E-2</v>
      </c>
      <c r="F1153">
        <v>3.0522000000000001E-2</v>
      </c>
      <c r="G1153" t="s">
        <v>211</v>
      </c>
      <c r="I1153">
        <f t="shared" si="61"/>
        <v>-0.1274811669009</v>
      </c>
      <c r="J1153">
        <f t="shared" si="62"/>
        <v>-7.92176669009E-2</v>
      </c>
      <c r="K1153">
        <f t="shared" si="63"/>
        <v>3.05178330991E-2</v>
      </c>
    </row>
    <row r="1154" spans="1:11" x14ac:dyDescent="0.35">
      <c r="A1154" t="s">
        <v>89</v>
      </c>
      <c r="B1154">
        <v>10104</v>
      </c>
      <c r="C1154">
        <v>-4.9180000000000001E-2</v>
      </c>
      <c r="D1154" s="5">
        <v>4.4447111E-6</v>
      </c>
      <c r="E1154">
        <v>-5.0825889999999999E-2</v>
      </c>
      <c r="F1154">
        <v>2.3545E-2</v>
      </c>
      <c r="G1154" t="s">
        <v>211</v>
      </c>
      <c r="I1154">
        <f t="shared" si="61"/>
        <v>-4.9184444711099999E-2</v>
      </c>
      <c r="J1154">
        <f t="shared" si="62"/>
        <v>-5.0830334711099996E-2</v>
      </c>
      <c r="K1154">
        <f t="shared" si="63"/>
        <v>2.3540555288899999E-2</v>
      </c>
    </row>
    <row r="1155" spans="1:11" x14ac:dyDescent="0.35">
      <c r="A1155" t="s">
        <v>90</v>
      </c>
      <c r="B1155">
        <v>10104</v>
      </c>
      <c r="C1155">
        <v>0.10391400000000001</v>
      </c>
      <c r="D1155" s="5">
        <v>3.7501547000000001E-6</v>
      </c>
      <c r="E1155">
        <v>7.0217035999999997E-2</v>
      </c>
      <c r="F1155">
        <v>-5.0871E-2</v>
      </c>
      <c r="G1155" t="s">
        <v>211</v>
      </c>
      <c r="I1155">
        <f t="shared" si="61"/>
        <v>0.10391024984530001</v>
      </c>
      <c r="J1155">
        <f t="shared" si="62"/>
        <v>7.0213285845299997E-2</v>
      </c>
      <c r="K1155">
        <f t="shared" si="63"/>
        <v>-5.0874750154699999E-2</v>
      </c>
    </row>
    <row r="1156" spans="1:11" x14ac:dyDescent="0.35">
      <c r="A1156" t="s">
        <v>91</v>
      </c>
      <c r="B1156">
        <v>10104</v>
      </c>
      <c r="C1156">
        <v>-7.5930999999999998E-2</v>
      </c>
      <c r="D1156" s="5">
        <v>4.1669009000000002E-6</v>
      </c>
      <c r="E1156">
        <v>-4.2918108000000003E-2</v>
      </c>
      <c r="F1156">
        <v>5.7061000000000001E-2</v>
      </c>
      <c r="G1156" t="s">
        <v>211</v>
      </c>
      <c r="I1156">
        <f t="shared" si="61"/>
        <v>-7.5935166900899992E-2</v>
      </c>
      <c r="J1156">
        <f t="shared" si="62"/>
        <v>-4.2922274900900004E-2</v>
      </c>
      <c r="K1156">
        <f t="shared" si="63"/>
        <v>5.70568330991E-2</v>
      </c>
    </row>
    <row r="1157" spans="1:11" x14ac:dyDescent="0.35">
      <c r="A1157" t="s">
        <v>92</v>
      </c>
      <c r="B1157">
        <v>10104</v>
      </c>
      <c r="C1157">
        <v>0.22911400000000001</v>
      </c>
      <c r="D1157" s="5">
        <v>4.7224784999999996E-6</v>
      </c>
      <c r="E1157">
        <v>9.1566808999999999E-2</v>
      </c>
      <c r="F1157">
        <v>4.7756E-2</v>
      </c>
      <c r="G1157" t="s">
        <v>211</v>
      </c>
      <c r="I1157">
        <f t="shared" si="61"/>
        <v>0.22910927752150001</v>
      </c>
      <c r="J1157">
        <f t="shared" si="62"/>
        <v>9.1562086521499997E-2</v>
      </c>
      <c r="K1157">
        <f t="shared" si="63"/>
        <v>4.7751277521499998E-2</v>
      </c>
    </row>
    <row r="1158" spans="1:11" x14ac:dyDescent="0.35">
      <c r="A1158" t="s">
        <v>93</v>
      </c>
      <c r="B1158">
        <v>10104</v>
      </c>
      <c r="C1158">
        <v>9.6088999999999994E-2</v>
      </c>
      <c r="D1158" s="5">
        <v>4.3058153000000004E-6</v>
      </c>
      <c r="E1158">
        <v>3.7957888000000002E-2</v>
      </c>
      <c r="F1158">
        <v>3.6823000000000002E-2</v>
      </c>
      <c r="G1158" t="s">
        <v>211</v>
      </c>
      <c r="I1158">
        <f t="shared" si="61"/>
        <v>9.608469418469999E-2</v>
      </c>
      <c r="J1158">
        <f t="shared" si="62"/>
        <v>3.7953582184700005E-2</v>
      </c>
      <c r="K1158">
        <f t="shared" si="63"/>
        <v>3.6818694184700004E-2</v>
      </c>
    </row>
    <row r="1159" spans="1:11" x14ac:dyDescent="0.35">
      <c r="A1159" t="s">
        <v>94</v>
      </c>
      <c r="B1159">
        <v>10104</v>
      </c>
      <c r="C1159">
        <v>-7.9476000000000005E-2</v>
      </c>
      <c r="D1159" s="5">
        <v>4.0280046999999999E-6</v>
      </c>
      <c r="E1159">
        <v>8.7761291999999998E-3</v>
      </c>
      <c r="F1159">
        <v>2.1113E-2</v>
      </c>
      <c r="G1159" t="s">
        <v>211</v>
      </c>
      <c r="I1159">
        <f t="shared" si="61"/>
        <v>-7.9480028004699999E-2</v>
      </c>
      <c r="J1159">
        <f t="shared" si="62"/>
        <v>8.7721011952999993E-3</v>
      </c>
      <c r="K1159">
        <f t="shared" si="63"/>
        <v>2.1108971995299999E-2</v>
      </c>
    </row>
    <row r="1160" spans="1:11" x14ac:dyDescent="0.35">
      <c r="A1160" t="s">
        <v>95</v>
      </c>
      <c r="B1160">
        <v>10104</v>
      </c>
      <c r="C1160">
        <v>0.15733</v>
      </c>
      <c r="D1160" s="5">
        <v>4.7224784999999996E-6</v>
      </c>
      <c r="E1160">
        <v>6.7283355000000003E-2</v>
      </c>
      <c r="F1160">
        <v>2.4368999999999998E-2</v>
      </c>
      <c r="G1160" t="s">
        <v>211</v>
      </c>
      <c r="I1160">
        <f t="shared" si="61"/>
        <v>0.1573252775215</v>
      </c>
      <c r="J1160">
        <f t="shared" si="62"/>
        <v>6.7278632521500001E-2</v>
      </c>
      <c r="K1160">
        <f t="shared" si="63"/>
        <v>2.43642775215E-2</v>
      </c>
    </row>
    <row r="1161" spans="1:11" x14ac:dyDescent="0.35">
      <c r="A1161" t="s">
        <v>96</v>
      </c>
      <c r="B1161">
        <v>10104</v>
      </c>
      <c r="C1161">
        <v>2.4920000000000001E-2</v>
      </c>
      <c r="D1161" s="5">
        <v>1.5278093000000001E-6</v>
      </c>
      <c r="E1161">
        <v>1.9074834999999998E-2</v>
      </c>
      <c r="F1161">
        <v>-6.3797999999999994E-2</v>
      </c>
      <c r="G1161" t="s">
        <v>211</v>
      </c>
      <c r="I1161">
        <f t="shared" si="61"/>
        <v>2.4918472190700001E-2</v>
      </c>
      <c r="J1161">
        <f t="shared" si="62"/>
        <v>1.9073307190699999E-2</v>
      </c>
      <c r="K1161">
        <f t="shared" si="63"/>
        <v>-6.3799527809299997E-2</v>
      </c>
    </row>
    <row r="1162" spans="1:11" x14ac:dyDescent="0.35">
      <c r="A1162" t="s">
        <v>97</v>
      </c>
      <c r="B1162">
        <v>10104</v>
      </c>
      <c r="C1162">
        <v>2.7161999999999999E-2</v>
      </c>
      <c r="D1162" s="5">
        <v>4.1668749999999998E-6</v>
      </c>
      <c r="E1162">
        <v>3.8132824000000003E-2</v>
      </c>
      <c r="F1162">
        <v>5.9991000000000003E-2</v>
      </c>
      <c r="G1162" t="s">
        <v>211</v>
      </c>
      <c r="I1162">
        <f t="shared" si="61"/>
        <v>2.7157833124999999E-2</v>
      </c>
      <c r="J1162">
        <f t="shared" si="62"/>
        <v>3.8128657125E-2</v>
      </c>
      <c r="K1162">
        <f t="shared" si="63"/>
        <v>5.9986833125E-2</v>
      </c>
    </row>
    <row r="1163" spans="1:11" x14ac:dyDescent="0.35">
      <c r="A1163" t="s">
        <v>98</v>
      </c>
      <c r="B1163">
        <v>10104</v>
      </c>
      <c r="C1163">
        <v>1.6185000000000001E-2</v>
      </c>
      <c r="D1163" s="5">
        <v>3.7501688E-6</v>
      </c>
      <c r="E1163">
        <v>3.4299082999999998E-3</v>
      </c>
      <c r="F1163">
        <v>1.5973999999999999E-2</v>
      </c>
      <c r="G1163" t="s">
        <v>211</v>
      </c>
      <c r="I1163">
        <f t="shared" si="61"/>
        <v>1.6181249831200003E-2</v>
      </c>
      <c r="J1163">
        <f t="shared" si="62"/>
        <v>3.4261581312E-3</v>
      </c>
      <c r="K1163">
        <f t="shared" si="63"/>
        <v>1.59702498312E-2</v>
      </c>
    </row>
    <row r="1164" spans="1:11" x14ac:dyDescent="0.35">
      <c r="A1164" t="s">
        <v>99</v>
      </c>
      <c r="B1164">
        <v>10104</v>
      </c>
      <c r="C1164">
        <v>7.7395000000000005E-2</v>
      </c>
      <c r="D1164" s="5">
        <v>1.8056012E-6</v>
      </c>
      <c r="E1164">
        <v>2.8691142999999999E-2</v>
      </c>
      <c r="F1164">
        <v>8.9446999999999999E-2</v>
      </c>
      <c r="G1164" t="s">
        <v>211</v>
      </c>
      <c r="I1164">
        <f t="shared" si="61"/>
        <v>7.7393194398800005E-2</v>
      </c>
      <c r="J1164">
        <f t="shared" si="62"/>
        <v>2.8689337398799999E-2</v>
      </c>
      <c r="K1164">
        <f t="shared" si="63"/>
        <v>8.9445194398799999E-2</v>
      </c>
    </row>
    <row r="1165" spans="1:11" x14ac:dyDescent="0.35">
      <c r="A1165" t="s">
        <v>100</v>
      </c>
      <c r="B1165">
        <v>10104</v>
      </c>
      <c r="C1165">
        <v>-4.8386999999999999E-2</v>
      </c>
      <c r="D1165" s="5">
        <v>8.3334270999999995E-7</v>
      </c>
      <c r="E1165">
        <v>-1.4824624999999999E-2</v>
      </c>
      <c r="F1165">
        <v>-1.7916999999999999E-2</v>
      </c>
      <c r="G1165" t="s">
        <v>211</v>
      </c>
      <c r="I1165">
        <f t="shared" si="61"/>
        <v>-4.8387833342709997E-2</v>
      </c>
      <c r="J1165">
        <f t="shared" si="62"/>
        <v>-1.4825458342709999E-2</v>
      </c>
      <c r="K1165">
        <f t="shared" si="63"/>
        <v>-1.791783334271E-2</v>
      </c>
    </row>
    <row r="1166" spans="1:11" x14ac:dyDescent="0.35">
      <c r="A1166" t="s">
        <v>101</v>
      </c>
      <c r="B1166">
        <v>10104</v>
      </c>
      <c r="C1166">
        <v>-3.8281999999999997E-2</v>
      </c>
      <c r="D1166" s="5">
        <v>1.2500179E-6</v>
      </c>
      <c r="E1166">
        <v>-1.8264328999999999E-2</v>
      </c>
      <c r="F1166">
        <v>-2.4317999999999999E-2</v>
      </c>
      <c r="G1166" t="s">
        <v>211</v>
      </c>
      <c r="I1166">
        <f t="shared" si="61"/>
        <v>-3.8283250017899999E-2</v>
      </c>
      <c r="J1166">
        <f t="shared" si="62"/>
        <v>-1.8265579017899998E-2</v>
      </c>
      <c r="K1166">
        <f t="shared" si="63"/>
        <v>-2.4319250017899998E-2</v>
      </c>
    </row>
    <row r="1167" spans="1:11" x14ac:dyDescent="0.35">
      <c r="A1167" t="s">
        <v>102</v>
      </c>
      <c r="B1167">
        <v>10104</v>
      </c>
      <c r="C1167">
        <v>-6.8975999999999996E-2</v>
      </c>
      <c r="D1167" s="5">
        <v>5.5555989E-7</v>
      </c>
      <c r="E1167">
        <v>-2.2433277000000001E-2</v>
      </c>
      <c r="F1167">
        <v>8.4170999999999996E-2</v>
      </c>
      <c r="G1167" t="s">
        <v>211</v>
      </c>
      <c r="I1167">
        <f t="shared" si="61"/>
        <v>-6.897655555988999E-2</v>
      </c>
      <c r="J1167">
        <f t="shared" si="62"/>
        <v>-2.2433832559890003E-2</v>
      </c>
      <c r="K1167">
        <f t="shared" si="63"/>
        <v>8.4170444440110001E-2</v>
      </c>
    </row>
    <row r="1168" spans="1:11" x14ac:dyDescent="0.35">
      <c r="A1168" t="s">
        <v>103</v>
      </c>
      <c r="B1168">
        <v>10104</v>
      </c>
      <c r="C1168">
        <v>-8.208E-2</v>
      </c>
      <c r="D1168" s="5">
        <v>5.0003378000000001E-6</v>
      </c>
      <c r="E1168">
        <v>-5.7314354999999997E-2</v>
      </c>
      <c r="F1168">
        <v>0.122749</v>
      </c>
      <c r="G1168" t="s">
        <v>211</v>
      </c>
      <c r="I1168">
        <f t="shared" si="61"/>
        <v>-8.2085000337800001E-2</v>
      </c>
      <c r="J1168">
        <f t="shared" si="62"/>
        <v>-5.7319355337799999E-2</v>
      </c>
      <c r="K1168">
        <f t="shared" si="63"/>
        <v>0.1227439996622</v>
      </c>
    </row>
    <row r="1169" spans="1:11" x14ac:dyDescent="0.35">
      <c r="A1169" t="s">
        <v>104</v>
      </c>
      <c r="B1169">
        <v>10104</v>
      </c>
      <c r="C1169">
        <v>2.3869000000000001E-2</v>
      </c>
      <c r="D1169" s="5">
        <v>4.1666856999999999E-7</v>
      </c>
      <c r="E1169">
        <v>-8.4963291999999996E-2</v>
      </c>
      <c r="F1169">
        <v>-0.110623</v>
      </c>
      <c r="G1169" t="s">
        <v>211</v>
      </c>
      <c r="I1169">
        <f t="shared" si="61"/>
        <v>2.386858333143E-2</v>
      </c>
      <c r="J1169">
        <f t="shared" si="62"/>
        <v>-8.496370866856999E-2</v>
      </c>
      <c r="K1169">
        <f t="shared" si="63"/>
        <v>-0.11062341666856999</v>
      </c>
    </row>
    <row r="1170" spans="1:11" x14ac:dyDescent="0.35">
      <c r="A1170" t="s">
        <v>105</v>
      </c>
      <c r="B1170">
        <v>10104</v>
      </c>
      <c r="C1170">
        <v>0.14230999999999999</v>
      </c>
      <c r="D1170" s="5">
        <v>5.5555972000000002E-7</v>
      </c>
      <c r="E1170">
        <v>7.7098571000000005E-2</v>
      </c>
      <c r="F1170">
        <v>5.8712E-2</v>
      </c>
      <c r="G1170" t="s">
        <v>211</v>
      </c>
      <c r="I1170">
        <f t="shared" si="61"/>
        <v>0.14230944444027999</v>
      </c>
      <c r="J1170">
        <f t="shared" si="62"/>
        <v>7.7098015440279999E-2</v>
      </c>
      <c r="K1170">
        <f t="shared" si="63"/>
        <v>5.8711444440280001E-2</v>
      </c>
    </row>
    <row r="1171" spans="1:11" x14ac:dyDescent="0.35">
      <c r="A1171" t="s">
        <v>106</v>
      </c>
      <c r="B1171">
        <v>10104</v>
      </c>
      <c r="C1171">
        <v>-4.3332000000000002E-2</v>
      </c>
      <c r="D1171" s="5">
        <v>6.9445048000000002E-7</v>
      </c>
      <c r="E1171">
        <v>-2.5843721E-2</v>
      </c>
      <c r="F1171">
        <v>1.6673E-2</v>
      </c>
      <c r="G1171" t="s">
        <v>211</v>
      </c>
      <c r="I1171">
        <f t="shared" si="61"/>
        <v>-4.3332694450480005E-2</v>
      </c>
      <c r="J1171">
        <f t="shared" si="62"/>
        <v>-2.584441545048E-2</v>
      </c>
      <c r="K1171">
        <f t="shared" si="63"/>
        <v>1.6672305549520001E-2</v>
      </c>
    </row>
    <row r="1172" spans="1:11" x14ac:dyDescent="0.35">
      <c r="A1172" t="s">
        <v>107</v>
      </c>
      <c r="B1172">
        <v>10104</v>
      </c>
      <c r="C1172">
        <v>-0.18181800000000001</v>
      </c>
      <c r="D1172" s="5">
        <v>1.6666698E-7</v>
      </c>
      <c r="E1172">
        <v>3.7129038999999999E-3</v>
      </c>
      <c r="F1172">
        <v>-0.106624</v>
      </c>
      <c r="G1172" t="s">
        <v>211</v>
      </c>
      <c r="I1172">
        <f t="shared" si="61"/>
        <v>-0.18181816666698</v>
      </c>
      <c r="J1172">
        <f t="shared" si="62"/>
        <v>3.7127372330199998E-3</v>
      </c>
      <c r="K1172">
        <f t="shared" si="63"/>
        <v>-0.10662416666697999</v>
      </c>
    </row>
    <row r="1173" spans="1:11" x14ac:dyDescent="0.35">
      <c r="A1173" t="s">
        <v>108</v>
      </c>
      <c r="B1173">
        <v>10104</v>
      </c>
      <c r="C1173">
        <v>0.102144</v>
      </c>
      <c r="D1173" s="5">
        <v>4.1666901999999998E-7</v>
      </c>
      <c r="E1173">
        <v>5.4102684999999998E-2</v>
      </c>
      <c r="F1173">
        <v>0.113955</v>
      </c>
      <c r="G1173" t="s">
        <v>211</v>
      </c>
      <c r="I1173">
        <f t="shared" si="61"/>
        <v>0.10214358333098</v>
      </c>
      <c r="J1173">
        <f t="shared" si="62"/>
        <v>5.4102268330979995E-2</v>
      </c>
      <c r="K1173">
        <f t="shared" si="63"/>
        <v>0.11395458333098001</v>
      </c>
    </row>
    <row r="1174" spans="1:11" x14ac:dyDescent="0.35">
      <c r="A1174" t="s">
        <v>109</v>
      </c>
      <c r="B1174">
        <v>10104</v>
      </c>
      <c r="C1174">
        <v>3.7044000000000001E-2</v>
      </c>
      <c r="D1174" s="5">
        <v>1.6666986000000001E-6</v>
      </c>
      <c r="E1174">
        <v>4.1180659000000001E-2</v>
      </c>
      <c r="F1174">
        <v>-2.9673000000000001E-2</v>
      </c>
      <c r="G1174" t="s">
        <v>211</v>
      </c>
      <c r="I1174">
        <f t="shared" si="61"/>
        <v>3.7042333301399999E-2</v>
      </c>
      <c r="J1174">
        <f t="shared" si="62"/>
        <v>4.11789923014E-2</v>
      </c>
      <c r="K1174">
        <f t="shared" si="63"/>
        <v>-2.9674666698600003E-2</v>
      </c>
    </row>
    <row r="1175" spans="1:11" x14ac:dyDescent="0.35">
      <c r="A1175" t="s">
        <v>110</v>
      </c>
      <c r="B1175">
        <v>10104</v>
      </c>
      <c r="C1175">
        <v>-3.2469999999999999E-3</v>
      </c>
      <c r="D1175" s="5">
        <v>1.1111247000000001E-6</v>
      </c>
      <c r="E1175">
        <v>2.4026984000000001E-2</v>
      </c>
      <c r="F1175">
        <v>-1.3184E-2</v>
      </c>
      <c r="G1175" t="s">
        <v>211</v>
      </c>
      <c r="I1175">
        <f t="shared" si="61"/>
        <v>-3.2481111247E-3</v>
      </c>
      <c r="J1175">
        <f t="shared" si="62"/>
        <v>2.4025872875300003E-2</v>
      </c>
      <c r="K1175">
        <f t="shared" si="63"/>
        <v>-1.31851111247E-2</v>
      </c>
    </row>
    <row r="1176" spans="1:11" x14ac:dyDescent="0.35">
      <c r="A1176" t="s">
        <v>111</v>
      </c>
      <c r="B1176">
        <v>10104</v>
      </c>
      <c r="C1176">
        <v>1.0288E-2</v>
      </c>
      <c r="D1176" s="5">
        <v>9.722349400000001E-7</v>
      </c>
      <c r="E1176">
        <v>-6.8070008E-3</v>
      </c>
      <c r="F1176">
        <v>-1.48E-3</v>
      </c>
      <c r="G1176" t="s">
        <v>211</v>
      </c>
      <c r="I1176">
        <f t="shared" si="61"/>
        <v>1.028702776506E-2</v>
      </c>
      <c r="J1176">
        <f t="shared" si="62"/>
        <v>-6.8079730349399998E-3</v>
      </c>
      <c r="K1176">
        <f t="shared" si="63"/>
        <v>-1.4809722349400001E-3</v>
      </c>
    </row>
    <row r="1177" spans="1:11" x14ac:dyDescent="0.35">
      <c r="A1177" t="s">
        <v>112</v>
      </c>
      <c r="B1177">
        <v>10104</v>
      </c>
      <c r="C1177">
        <v>-9.9659999999999999E-2</v>
      </c>
      <c r="D1177" s="5">
        <v>1.8055947E-6</v>
      </c>
      <c r="E1177">
        <v>-6.5889180000000006E-2</v>
      </c>
      <c r="F1177">
        <v>-6.3380000000000006E-2</v>
      </c>
      <c r="G1177" t="s">
        <v>211</v>
      </c>
      <c r="I1177">
        <f t="shared" si="61"/>
        <v>-9.9661805594700004E-2</v>
      </c>
      <c r="J1177">
        <f t="shared" si="62"/>
        <v>-6.5890985594700011E-2</v>
      </c>
      <c r="K1177">
        <f t="shared" si="63"/>
        <v>-6.3381805594700011E-2</v>
      </c>
    </row>
    <row r="1178" spans="1:11" x14ac:dyDescent="0.35">
      <c r="A1178" t="s">
        <v>113</v>
      </c>
      <c r="B1178">
        <v>10104</v>
      </c>
      <c r="C1178">
        <v>0.12202499999999999</v>
      </c>
      <c r="D1178" s="5">
        <v>8.3334305000000002E-7</v>
      </c>
      <c r="E1178">
        <v>3.8209856E-2</v>
      </c>
      <c r="F1178">
        <v>2.3546000000000001E-2</v>
      </c>
      <c r="G1178" t="s">
        <v>211</v>
      </c>
      <c r="I1178">
        <f t="shared" si="61"/>
        <v>0.12202416665695</v>
      </c>
      <c r="J1178">
        <f t="shared" si="62"/>
        <v>3.8209022656950004E-2</v>
      </c>
      <c r="K1178">
        <f t="shared" si="63"/>
        <v>2.3545166656950001E-2</v>
      </c>
    </row>
    <row r="1179" spans="1:11" x14ac:dyDescent="0.35">
      <c r="A1179" t="s">
        <v>114</v>
      </c>
      <c r="B1179">
        <v>10104</v>
      </c>
      <c r="C1179">
        <v>1.8855E-2</v>
      </c>
      <c r="D1179" s="5">
        <v>9.722349400000001E-7</v>
      </c>
      <c r="E1179">
        <v>1.0293739999999999E-2</v>
      </c>
      <c r="F1179">
        <v>8.3770000000000008E-3</v>
      </c>
      <c r="G1179" t="s">
        <v>211</v>
      </c>
      <c r="I1179">
        <f t="shared" si="61"/>
        <v>1.885402776506E-2</v>
      </c>
      <c r="J1179">
        <f t="shared" si="62"/>
        <v>1.0292767765059999E-2</v>
      </c>
      <c r="K1179">
        <f t="shared" si="63"/>
        <v>8.3760277650600009E-3</v>
      </c>
    </row>
    <row r="1180" spans="1:11" x14ac:dyDescent="0.35">
      <c r="A1180" t="s">
        <v>115</v>
      </c>
      <c r="B1180">
        <v>10104</v>
      </c>
      <c r="C1180">
        <v>4.8013E-2</v>
      </c>
      <c r="D1180" s="5">
        <v>1.3889111E-6</v>
      </c>
      <c r="E1180">
        <v>2.6292300000000001E-2</v>
      </c>
      <c r="F1180">
        <v>4.9396000000000002E-2</v>
      </c>
      <c r="G1180" t="s">
        <v>211</v>
      </c>
      <c r="I1180">
        <f t="shared" si="61"/>
        <v>4.8011611088900001E-2</v>
      </c>
      <c r="J1180">
        <f t="shared" si="62"/>
        <v>2.6290911088900002E-2</v>
      </c>
      <c r="K1180">
        <f t="shared" si="63"/>
        <v>4.9394611088900003E-2</v>
      </c>
    </row>
    <row r="1181" spans="1:11" x14ac:dyDescent="0.35">
      <c r="A1181" t="s">
        <v>116</v>
      </c>
      <c r="B1181">
        <v>10104</v>
      </c>
      <c r="C1181">
        <v>-6.0029999999999997E-3</v>
      </c>
      <c r="D1181" s="5">
        <v>2.3611862999999998E-6</v>
      </c>
      <c r="E1181">
        <v>2.6509768999999999E-2</v>
      </c>
      <c r="F1181">
        <v>4.6705999999999998E-2</v>
      </c>
      <c r="G1181" t="s">
        <v>211</v>
      </c>
      <c r="I1181">
        <f t="shared" si="61"/>
        <v>-6.0053611862999996E-3</v>
      </c>
      <c r="J1181">
        <f t="shared" si="62"/>
        <v>2.65074078137E-2</v>
      </c>
      <c r="K1181">
        <f t="shared" si="63"/>
        <v>4.6703638813699995E-2</v>
      </c>
    </row>
    <row r="1182" spans="1:11" x14ac:dyDescent="0.35">
      <c r="A1182" t="s">
        <v>117</v>
      </c>
      <c r="B1182">
        <v>10104</v>
      </c>
      <c r="C1182">
        <v>-1.0172E-2</v>
      </c>
      <c r="D1182" s="5">
        <v>1.5278093000000001E-6</v>
      </c>
      <c r="E1182">
        <v>-1.0423534999999999E-2</v>
      </c>
      <c r="F1182">
        <v>-2.9437000000000001E-2</v>
      </c>
      <c r="G1182" t="s">
        <v>211</v>
      </c>
      <c r="I1182">
        <f t="shared" si="61"/>
        <v>-1.01735278093E-2</v>
      </c>
      <c r="J1182">
        <f t="shared" si="62"/>
        <v>-1.0425062809299999E-2</v>
      </c>
      <c r="K1182">
        <f t="shared" si="63"/>
        <v>-2.9438527809300001E-2</v>
      </c>
    </row>
    <row r="1183" spans="1:11" x14ac:dyDescent="0.35">
      <c r="A1183" t="s">
        <v>118</v>
      </c>
      <c r="B1183">
        <v>10104</v>
      </c>
      <c r="C1183">
        <v>3.5231999999999999E-2</v>
      </c>
      <c r="D1183" s="5">
        <v>2.7778665000000001E-6</v>
      </c>
      <c r="E1183">
        <v>6.5123695000000002E-3</v>
      </c>
      <c r="F1183">
        <v>-4.6750000000000003E-3</v>
      </c>
      <c r="G1183" t="s">
        <v>211</v>
      </c>
      <c r="I1183">
        <f t="shared" si="61"/>
        <v>3.52292221335E-2</v>
      </c>
      <c r="J1183">
        <f t="shared" si="62"/>
        <v>6.5095916335000002E-3</v>
      </c>
      <c r="K1183">
        <f t="shared" si="63"/>
        <v>-4.6777778665000004E-3</v>
      </c>
    </row>
    <row r="1184" spans="1:11" x14ac:dyDescent="0.35">
      <c r="A1184" t="s">
        <v>119</v>
      </c>
      <c r="B1184">
        <v>10104</v>
      </c>
      <c r="C1184">
        <v>4.1181000000000002E-2</v>
      </c>
      <c r="D1184" s="5">
        <v>3.1945822000000001E-6</v>
      </c>
      <c r="E1184">
        <v>1.2589275E-2</v>
      </c>
      <c r="F1184">
        <v>-2.4267E-2</v>
      </c>
      <c r="G1184" t="s">
        <v>211</v>
      </c>
      <c r="I1184">
        <f t="shared" si="61"/>
        <v>4.1177805417800001E-2</v>
      </c>
      <c r="J1184">
        <f t="shared" si="62"/>
        <v>1.2586080417800001E-2</v>
      </c>
      <c r="K1184">
        <f t="shared" si="63"/>
        <v>-2.4270194582200002E-2</v>
      </c>
    </row>
    <row r="1185" spans="1:11" x14ac:dyDescent="0.35">
      <c r="A1185" t="s">
        <v>120</v>
      </c>
      <c r="B1185">
        <v>10104</v>
      </c>
      <c r="C1185">
        <v>6.5726000000000007E-2</v>
      </c>
      <c r="D1185" s="5">
        <v>5.5555926999999998E-7</v>
      </c>
      <c r="E1185">
        <v>5.4154015999999999E-2</v>
      </c>
      <c r="F1185">
        <v>-5.0639999999999999E-3</v>
      </c>
      <c r="G1185" t="s">
        <v>211</v>
      </c>
      <c r="I1185">
        <f t="shared" si="61"/>
        <v>6.5725444440730002E-2</v>
      </c>
      <c r="J1185">
        <f t="shared" si="62"/>
        <v>5.4153460440730002E-2</v>
      </c>
      <c r="K1185">
        <f t="shared" si="63"/>
        <v>-5.0645555592700002E-3</v>
      </c>
    </row>
    <row r="1186" spans="1:11" x14ac:dyDescent="0.35">
      <c r="A1186" t="s">
        <v>121</v>
      </c>
      <c r="B1186">
        <v>10104</v>
      </c>
      <c r="C1186">
        <v>-3.5763999999999997E-2</v>
      </c>
      <c r="D1186" s="5">
        <v>1.1111283999999999E-6</v>
      </c>
      <c r="E1186">
        <v>8.3725397000000007E-3</v>
      </c>
      <c r="F1186">
        <v>-5.0867999999999997E-2</v>
      </c>
      <c r="G1186" t="s">
        <v>211</v>
      </c>
      <c r="I1186">
        <f t="shared" si="61"/>
        <v>-3.5765111128399994E-2</v>
      </c>
      <c r="J1186">
        <f t="shared" si="62"/>
        <v>8.3714285716000002E-3</v>
      </c>
      <c r="K1186">
        <f t="shared" si="63"/>
        <v>-5.0869111128399994E-2</v>
      </c>
    </row>
    <row r="1187" spans="1:11" x14ac:dyDescent="0.35">
      <c r="A1187" t="s">
        <v>122</v>
      </c>
      <c r="B1187">
        <v>10104</v>
      </c>
      <c r="C1187">
        <v>-5.5782999999999999E-2</v>
      </c>
      <c r="D1187" s="5">
        <v>2.3611892000000002E-6</v>
      </c>
      <c r="E1187">
        <v>3.5316341000000001E-2</v>
      </c>
      <c r="F1187">
        <v>9.6080000000000002E-3</v>
      </c>
      <c r="G1187" t="s">
        <v>211</v>
      </c>
      <c r="I1187">
        <f t="shared" si="61"/>
        <v>-5.5785361189200001E-2</v>
      </c>
      <c r="J1187">
        <f t="shared" si="62"/>
        <v>3.5313979810799999E-2</v>
      </c>
      <c r="K1187">
        <f t="shared" si="63"/>
        <v>9.6056388107999997E-3</v>
      </c>
    </row>
    <row r="1188" spans="1:11" x14ac:dyDescent="0.35">
      <c r="A1188" t="s">
        <v>123</v>
      </c>
      <c r="B1188">
        <v>10104</v>
      </c>
      <c r="C1188">
        <v>1.3919000000000001E-2</v>
      </c>
      <c r="D1188" s="5">
        <v>9.7223551000000005E-7</v>
      </c>
      <c r="E1188">
        <v>1.4946403E-2</v>
      </c>
      <c r="F1188">
        <v>-7.5743000000000005E-2</v>
      </c>
      <c r="G1188" t="s">
        <v>211</v>
      </c>
      <c r="I1188">
        <f t="shared" si="61"/>
        <v>1.391802776449E-2</v>
      </c>
      <c r="J1188">
        <f t="shared" si="62"/>
        <v>1.494543076449E-2</v>
      </c>
      <c r="K1188">
        <f t="shared" si="63"/>
        <v>-7.5743972235510007E-2</v>
      </c>
    </row>
    <row r="1189" spans="1:11" x14ac:dyDescent="0.35">
      <c r="A1189" t="s">
        <v>124</v>
      </c>
      <c r="B1189">
        <v>10104</v>
      </c>
      <c r="C1189">
        <v>3.0505999999999998E-2</v>
      </c>
      <c r="D1189" s="5">
        <v>9.7223312000000006E-7</v>
      </c>
      <c r="E1189">
        <v>1.9178807999999999E-2</v>
      </c>
      <c r="F1189">
        <v>-6.1988000000000001E-2</v>
      </c>
      <c r="G1189" t="s">
        <v>211</v>
      </c>
      <c r="I1189">
        <f t="shared" si="61"/>
        <v>3.0505027766879998E-2</v>
      </c>
      <c r="J1189">
        <f t="shared" si="62"/>
        <v>1.9177835766879998E-2</v>
      </c>
      <c r="K1189">
        <f t="shared" si="63"/>
        <v>-6.1988972233119999E-2</v>
      </c>
    </row>
    <row r="1190" spans="1:11" x14ac:dyDescent="0.35">
      <c r="A1190" t="s">
        <v>125</v>
      </c>
      <c r="B1190">
        <v>10104</v>
      </c>
      <c r="C1190">
        <v>-9.0882000000000004E-2</v>
      </c>
      <c r="D1190" s="5">
        <v>5.5555972000000002E-7</v>
      </c>
      <c r="E1190">
        <v>-1.5042944000000001E-2</v>
      </c>
      <c r="F1190">
        <v>-0.11058800000000001</v>
      </c>
      <c r="G1190" t="s">
        <v>211</v>
      </c>
      <c r="I1190">
        <f t="shared" si="61"/>
        <v>-9.088255555972001E-2</v>
      </c>
      <c r="J1190">
        <f t="shared" si="62"/>
        <v>-1.5043499559720001E-2</v>
      </c>
      <c r="K1190">
        <f t="shared" si="63"/>
        <v>-0.11058855555972001</v>
      </c>
    </row>
    <row r="1191" spans="1:11" x14ac:dyDescent="0.35">
      <c r="A1191" t="s">
        <v>126</v>
      </c>
      <c r="B1191">
        <v>10104</v>
      </c>
      <c r="C1191">
        <v>5.731E-2</v>
      </c>
      <c r="D1191" s="5">
        <v>1.3888915000000001E-7</v>
      </c>
      <c r="E1191">
        <v>5.2630160000000002E-2</v>
      </c>
      <c r="F1191">
        <v>7.4301000000000006E-2</v>
      </c>
      <c r="G1191" t="s">
        <v>211</v>
      </c>
      <c r="I1191">
        <f t="shared" si="61"/>
        <v>5.7309861110849999E-2</v>
      </c>
      <c r="J1191">
        <f t="shared" si="62"/>
        <v>5.2630021110850002E-2</v>
      </c>
      <c r="K1191">
        <f t="shared" si="63"/>
        <v>7.4300861110850006E-2</v>
      </c>
    </row>
    <row r="1192" spans="1:11" x14ac:dyDescent="0.35">
      <c r="A1192" t="s">
        <v>127</v>
      </c>
      <c r="B1192">
        <v>10104</v>
      </c>
      <c r="C1192">
        <v>-1.5147000000000001E-2</v>
      </c>
      <c r="D1192" s="5">
        <v>2.7777863999999998E-7</v>
      </c>
      <c r="E1192">
        <v>-2.5734027999999999E-2</v>
      </c>
      <c r="F1192">
        <v>5.2047000000000003E-2</v>
      </c>
      <c r="G1192" t="s">
        <v>211</v>
      </c>
      <c r="I1192">
        <f t="shared" si="61"/>
        <v>-1.514727777864E-2</v>
      </c>
      <c r="J1192">
        <f t="shared" si="62"/>
        <v>-2.5734305778639999E-2</v>
      </c>
      <c r="K1192">
        <f t="shared" si="63"/>
        <v>5.2046722221360003E-2</v>
      </c>
    </row>
    <row r="1193" spans="1:11" x14ac:dyDescent="0.35">
      <c r="A1193" t="s">
        <v>128</v>
      </c>
      <c r="B1193">
        <v>10104</v>
      </c>
      <c r="C1193">
        <v>4.1117000000000001E-2</v>
      </c>
      <c r="D1193" s="5">
        <v>6.9445092999999996E-7</v>
      </c>
      <c r="E1193">
        <v>3.7508949999999999E-2</v>
      </c>
      <c r="F1193">
        <v>-4.7837999999999999E-2</v>
      </c>
      <c r="G1193" t="s">
        <v>211</v>
      </c>
      <c r="I1193">
        <f t="shared" si="61"/>
        <v>4.1116305549070004E-2</v>
      </c>
      <c r="J1193">
        <f t="shared" si="62"/>
        <v>3.7508255549070002E-2</v>
      </c>
      <c r="K1193">
        <f t="shared" si="63"/>
        <v>-4.7838694450929996E-2</v>
      </c>
    </row>
    <row r="1194" spans="1:11" x14ac:dyDescent="0.35">
      <c r="A1194" t="s">
        <v>129</v>
      </c>
      <c r="B1194">
        <v>10104</v>
      </c>
      <c r="C1194">
        <v>1.3566999999999999E-2</v>
      </c>
      <c r="D1194" s="5">
        <v>6.9445025000000003E-7</v>
      </c>
      <c r="E1194">
        <v>3.5732113000000003E-2</v>
      </c>
      <c r="F1194">
        <v>-3.4329999999999999E-3</v>
      </c>
      <c r="G1194" t="s">
        <v>211</v>
      </c>
      <c r="I1194">
        <f t="shared" si="61"/>
        <v>1.356630554975E-2</v>
      </c>
      <c r="J1194">
        <f t="shared" si="62"/>
        <v>3.5731418549750003E-2</v>
      </c>
      <c r="K1194">
        <f t="shared" si="63"/>
        <v>-3.4336944502499998E-3</v>
      </c>
    </row>
    <row r="1195" spans="1:11" x14ac:dyDescent="0.35">
      <c r="A1195" t="s">
        <v>130</v>
      </c>
      <c r="B1195">
        <v>10104</v>
      </c>
      <c r="C1195">
        <v>5.3433000000000001E-2</v>
      </c>
      <c r="D1195" s="5">
        <v>9.7223597000000002E-7</v>
      </c>
      <c r="E1195">
        <v>2.3912761000000001E-2</v>
      </c>
      <c r="F1195">
        <v>-5.5112000000000001E-2</v>
      </c>
      <c r="G1195" t="s">
        <v>211</v>
      </c>
      <c r="I1195">
        <f t="shared" si="61"/>
        <v>5.3432027764029999E-2</v>
      </c>
      <c r="J1195">
        <f t="shared" si="62"/>
        <v>2.3911788764030002E-2</v>
      </c>
      <c r="K1195">
        <f t="shared" si="63"/>
        <v>-5.5112972235970004E-2</v>
      </c>
    </row>
    <row r="1196" spans="1:11" x14ac:dyDescent="0.35">
      <c r="A1196" t="s">
        <v>131</v>
      </c>
      <c r="B1196">
        <v>10104</v>
      </c>
      <c r="C1196">
        <v>8.4159999999999999E-2</v>
      </c>
      <c r="D1196" s="5">
        <v>1.5278093000000001E-6</v>
      </c>
      <c r="E1196">
        <v>2.6196547000000001E-2</v>
      </c>
      <c r="F1196">
        <v>-3.7945E-2</v>
      </c>
      <c r="G1196" t="s">
        <v>211</v>
      </c>
      <c r="I1196">
        <f t="shared" si="61"/>
        <v>8.4158472190699996E-2</v>
      </c>
      <c r="J1196">
        <f t="shared" si="62"/>
        <v>2.6195019190700001E-2</v>
      </c>
      <c r="K1196">
        <f t="shared" si="63"/>
        <v>-3.7946527809300003E-2</v>
      </c>
    </row>
    <row r="1197" spans="1:11" x14ac:dyDescent="0.35">
      <c r="A1197" t="s">
        <v>132</v>
      </c>
      <c r="B1197">
        <v>10104</v>
      </c>
      <c r="C1197">
        <v>-3.2410000000000001E-2</v>
      </c>
      <c r="D1197" s="5">
        <v>4.1666865999999999E-7</v>
      </c>
      <c r="E1197">
        <v>-2.9955011E-2</v>
      </c>
      <c r="F1197">
        <v>3.4188999999999997E-2</v>
      </c>
      <c r="G1197" t="s">
        <v>211</v>
      </c>
      <c r="I1197">
        <f t="shared" si="61"/>
        <v>-3.241041666866E-2</v>
      </c>
      <c r="J1197">
        <f t="shared" si="62"/>
        <v>-2.9955427668659999E-2</v>
      </c>
      <c r="K1197">
        <f t="shared" si="63"/>
        <v>3.4188583331339999E-2</v>
      </c>
    </row>
    <row r="1198" spans="1:11" x14ac:dyDescent="0.35">
      <c r="A1198" t="s">
        <v>133</v>
      </c>
      <c r="B1198">
        <v>10104</v>
      </c>
      <c r="C1198">
        <v>5.9892000000000001E-2</v>
      </c>
      <c r="D1198" s="5">
        <v>8.3334270999999995E-7</v>
      </c>
      <c r="E1198">
        <v>4.6289820000000002E-2</v>
      </c>
      <c r="F1198">
        <v>6.2702999999999995E-2</v>
      </c>
      <c r="G1198" t="s">
        <v>211</v>
      </c>
      <c r="I1198">
        <f t="shared" si="61"/>
        <v>5.9891166657290003E-2</v>
      </c>
      <c r="J1198">
        <f t="shared" si="62"/>
        <v>4.6288986657290004E-2</v>
      </c>
      <c r="K1198">
        <f t="shared" si="63"/>
        <v>6.270216665728999E-2</v>
      </c>
    </row>
    <row r="1199" spans="1:11" x14ac:dyDescent="0.35">
      <c r="A1199" t="s">
        <v>134</v>
      </c>
      <c r="B1199">
        <v>10104</v>
      </c>
      <c r="C1199">
        <v>4.6024000000000002E-2</v>
      </c>
      <c r="D1199" s="5">
        <v>1.2500211E-6</v>
      </c>
      <c r="E1199">
        <v>4.4357283000000004E-3</v>
      </c>
      <c r="F1199">
        <v>-3.1420999999999998E-2</v>
      </c>
      <c r="G1199" t="s">
        <v>211</v>
      </c>
      <c r="I1199">
        <f t="shared" si="61"/>
        <v>4.6022749978900004E-2</v>
      </c>
      <c r="J1199">
        <f t="shared" si="62"/>
        <v>4.4344782789000007E-3</v>
      </c>
      <c r="K1199">
        <f t="shared" si="63"/>
        <v>-3.1422250021099996E-2</v>
      </c>
    </row>
    <row r="1200" spans="1:11" x14ac:dyDescent="0.35">
      <c r="A1200" t="s">
        <v>135</v>
      </c>
      <c r="B1200">
        <v>10104</v>
      </c>
      <c r="C1200">
        <v>2.2000000000000001E-3</v>
      </c>
      <c r="D1200" s="5">
        <v>8.3334168999999996E-7</v>
      </c>
      <c r="E1200">
        <v>1.4230842999999999E-3</v>
      </c>
      <c r="F1200">
        <v>4.9350000000000002E-3</v>
      </c>
      <c r="G1200" t="s">
        <v>211</v>
      </c>
      <c r="I1200">
        <f t="shared" si="61"/>
        <v>2.1991666583100001E-3</v>
      </c>
      <c r="J1200">
        <f t="shared" si="62"/>
        <v>1.4222509583099998E-3</v>
      </c>
      <c r="K1200">
        <f t="shared" si="63"/>
        <v>4.9341666583100005E-3</v>
      </c>
    </row>
    <row r="1201" spans="1:11" x14ac:dyDescent="0.35">
      <c r="A1201" t="s">
        <v>136</v>
      </c>
      <c r="B1201">
        <v>10104</v>
      </c>
      <c r="C1201">
        <v>2.7886000000000001E-2</v>
      </c>
      <c r="D1201" s="5">
        <v>5.5555893000000002E-7</v>
      </c>
      <c r="E1201">
        <v>2.0251281999999999E-2</v>
      </c>
      <c r="F1201">
        <v>-3.0509999999999999E-2</v>
      </c>
      <c r="G1201" t="s">
        <v>211</v>
      </c>
      <c r="I1201">
        <f t="shared" si="61"/>
        <v>2.7885444441070002E-2</v>
      </c>
      <c r="J1201">
        <f t="shared" si="62"/>
        <v>2.025072644107E-2</v>
      </c>
      <c r="K1201">
        <f t="shared" si="63"/>
        <v>-3.0510555558929998E-2</v>
      </c>
    </row>
    <row r="1202" spans="1:11" x14ac:dyDescent="0.35">
      <c r="A1202" t="s">
        <v>137</v>
      </c>
      <c r="B1202">
        <v>10104</v>
      </c>
      <c r="C1202">
        <v>-3.5458999999999997E-2</v>
      </c>
      <c r="D1202" s="5">
        <v>1.1111276999999999E-6</v>
      </c>
      <c r="E1202">
        <v>2.8027399000000001E-2</v>
      </c>
      <c r="F1202">
        <v>6.3189999999999996E-2</v>
      </c>
      <c r="G1202" t="s">
        <v>211</v>
      </c>
      <c r="I1202">
        <f t="shared" si="61"/>
        <v>-3.5460111127699999E-2</v>
      </c>
      <c r="J1202">
        <f t="shared" si="62"/>
        <v>2.80262878723E-2</v>
      </c>
      <c r="K1202">
        <f t="shared" si="63"/>
        <v>6.3188888872299995E-2</v>
      </c>
    </row>
    <row r="1203" spans="1:11" x14ac:dyDescent="0.35">
      <c r="A1203" t="s">
        <v>138</v>
      </c>
      <c r="B1203">
        <v>10104</v>
      </c>
      <c r="C1203">
        <v>-4.9299999999999995E-4</v>
      </c>
      <c r="D1203" s="5">
        <v>4.1666874000000002E-7</v>
      </c>
      <c r="E1203">
        <v>-2.0529615000000001E-2</v>
      </c>
      <c r="F1203">
        <v>-3.6317000000000002E-2</v>
      </c>
      <c r="G1203" t="s">
        <v>211</v>
      </c>
      <c r="I1203">
        <f t="shared" si="61"/>
        <v>-4.9341666874E-4</v>
      </c>
      <c r="J1203">
        <f t="shared" si="62"/>
        <v>-2.0530031668740002E-2</v>
      </c>
      <c r="K1203">
        <f t="shared" si="63"/>
        <v>-3.6317416668739999E-2</v>
      </c>
    </row>
    <row r="1204" spans="1:11" x14ac:dyDescent="0.35">
      <c r="A1204" t="s">
        <v>139</v>
      </c>
      <c r="B1204">
        <v>10104</v>
      </c>
      <c r="C1204">
        <v>2.8225E-2</v>
      </c>
      <c r="D1204" s="5">
        <v>2.0833394000000001E-7</v>
      </c>
      <c r="E1204">
        <v>4.0290773000000002E-2</v>
      </c>
      <c r="F1204">
        <v>3.8089999999999999E-3</v>
      </c>
      <c r="G1204" t="s">
        <v>211</v>
      </c>
      <c r="I1204">
        <f t="shared" si="61"/>
        <v>2.8224791666060001E-2</v>
      </c>
      <c r="J1204">
        <f t="shared" si="62"/>
        <v>4.029056466606E-2</v>
      </c>
      <c r="K1204">
        <f t="shared" si="63"/>
        <v>3.8087916660599999E-3</v>
      </c>
    </row>
    <row r="1205" spans="1:11" x14ac:dyDescent="0.35">
      <c r="A1205" t="s">
        <v>140</v>
      </c>
      <c r="B1205">
        <v>10104</v>
      </c>
      <c r="C1205">
        <v>-7.8256999999999993E-2</v>
      </c>
      <c r="D1205" s="5">
        <v>5.5555972000000002E-7</v>
      </c>
      <c r="E1205">
        <v>-2.5125346999999999E-2</v>
      </c>
      <c r="F1205">
        <v>-6.1762999999999998E-2</v>
      </c>
      <c r="G1205" t="s">
        <v>211</v>
      </c>
      <c r="I1205">
        <f t="shared" si="61"/>
        <v>-7.8257555559719999E-2</v>
      </c>
      <c r="J1205">
        <f t="shared" si="62"/>
        <v>-2.5125902559719998E-2</v>
      </c>
      <c r="K1205">
        <f t="shared" si="63"/>
        <v>-6.1763555559719997E-2</v>
      </c>
    </row>
    <row r="1206" spans="1:11" x14ac:dyDescent="0.35">
      <c r="A1206" t="s">
        <v>141</v>
      </c>
      <c r="B1206">
        <v>10104</v>
      </c>
      <c r="C1206">
        <v>2.325E-2</v>
      </c>
      <c r="D1206" s="5">
        <v>4.1666865999999999E-7</v>
      </c>
      <c r="E1206">
        <v>3.7308317000000001E-2</v>
      </c>
      <c r="F1206">
        <v>-3.0547999999999999E-2</v>
      </c>
      <c r="G1206" t="s">
        <v>211</v>
      </c>
      <c r="I1206">
        <f t="shared" si="61"/>
        <v>2.3249583331340001E-2</v>
      </c>
      <c r="J1206">
        <f t="shared" si="62"/>
        <v>3.7307900331340002E-2</v>
      </c>
      <c r="K1206">
        <f t="shared" si="63"/>
        <v>-3.0548416668659997E-2</v>
      </c>
    </row>
    <row r="1207" spans="1:11" x14ac:dyDescent="0.35">
      <c r="A1207" t="s">
        <v>142</v>
      </c>
      <c r="B1207">
        <v>10104</v>
      </c>
      <c r="C1207">
        <v>8.6043999999999995E-2</v>
      </c>
      <c r="D1207" s="5">
        <v>2.7777887000000002E-7</v>
      </c>
      <c r="E1207">
        <v>2.0212193999999999E-2</v>
      </c>
      <c r="F1207">
        <v>-4.8820000000000001E-3</v>
      </c>
      <c r="G1207" t="s">
        <v>211</v>
      </c>
      <c r="I1207">
        <f t="shared" si="61"/>
        <v>8.6043722221129992E-2</v>
      </c>
      <c r="J1207">
        <f t="shared" si="62"/>
        <v>2.021191622113E-2</v>
      </c>
      <c r="K1207">
        <f t="shared" si="63"/>
        <v>-4.8822777788699997E-3</v>
      </c>
    </row>
    <row r="1208" spans="1:11" x14ac:dyDescent="0.35">
      <c r="A1208" t="s">
        <v>143</v>
      </c>
      <c r="B1208">
        <v>10104</v>
      </c>
      <c r="C1208">
        <v>6.0363E-2</v>
      </c>
      <c r="D1208" s="5">
        <v>1.1111283999999999E-6</v>
      </c>
      <c r="E1208">
        <v>-3.5814726999999998E-3</v>
      </c>
      <c r="F1208">
        <v>1.3112E-2</v>
      </c>
      <c r="G1208" t="s">
        <v>211</v>
      </c>
      <c r="I1208">
        <f t="shared" si="61"/>
        <v>6.0361888871600003E-2</v>
      </c>
      <c r="J1208">
        <f t="shared" si="62"/>
        <v>-3.5825838283999999E-3</v>
      </c>
      <c r="K1208">
        <f t="shared" si="63"/>
        <v>1.31108888716E-2</v>
      </c>
    </row>
    <row r="1209" spans="1:11" x14ac:dyDescent="0.35">
      <c r="A1209" t="s">
        <v>144</v>
      </c>
      <c r="B1209">
        <v>10104</v>
      </c>
      <c r="C1209">
        <v>-6.5822000000000006E-2</v>
      </c>
      <c r="D1209" s="5">
        <v>4.1666856999999999E-7</v>
      </c>
      <c r="E1209">
        <v>-2.7105996E-2</v>
      </c>
      <c r="F1209">
        <v>8.6899000000000004E-2</v>
      </c>
      <c r="G1209" t="s">
        <v>211</v>
      </c>
      <c r="I1209">
        <f t="shared" si="61"/>
        <v>-6.582241666857E-2</v>
      </c>
      <c r="J1209">
        <f t="shared" si="62"/>
        <v>-2.7106412668570001E-2</v>
      </c>
      <c r="K1209">
        <f t="shared" si="63"/>
        <v>8.689858333143001E-2</v>
      </c>
    </row>
    <row r="1210" spans="1:11" x14ac:dyDescent="0.35">
      <c r="A1210" t="s">
        <v>145</v>
      </c>
      <c r="B1210">
        <v>10104</v>
      </c>
      <c r="C1210">
        <v>4.6073000000000003E-2</v>
      </c>
      <c r="D1210" s="5">
        <v>4.1666901999999998E-7</v>
      </c>
      <c r="E1210">
        <v>5.6000657000000002E-2</v>
      </c>
      <c r="F1210">
        <v>-5.9052E-2</v>
      </c>
      <c r="G1210" t="s">
        <v>211</v>
      </c>
      <c r="I1210">
        <f t="shared" si="61"/>
        <v>4.6072583330980001E-2</v>
      </c>
      <c r="J1210">
        <f t="shared" si="62"/>
        <v>5.600024033098E-2</v>
      </c>
      <c r="K1210">
        <f t="shared" si="63"/>
        <v>-5.9052416669020003E-2</v>
      </c>
    </row>
    <row r="1211" spans="1:11" x14ac:dyDescent="0.35">
      <c r="A1211" t="s">
        <v>146</v>
      </c>
      <c r="B1211">
        <v>10104</v>
      </c>
      <c r="C1211">
        <v>-1.529E-2</v>
      </c>
      <c r="D1211" s="5">
        <v>6.9445092999999996E-7</v>
      </c>
      <c r="E1211">
        <v>-1.0326237E-2</v>
      </c>
      <c r="F1211">
        <v>-2.1521999999999999E-2</v>
      </c>
      <c r="G1211" t="s">
        <v>211</v>
      </c>
      <c r="I1211">
        <f t="shared" si="61"/>
        <v>-1.529069445093E-2</v>
      </c>
      <c r="J1211">
        <f t="shared" si="62"/>
        <v>-1.0326931450930001E-2</v>
      </c>
      <c r="K1211">
        <f t="shared" si="63"/>
        <v>-2.152269445093E-2</v>
      </c>
    </row>
    <row r="1212" spans="1:11" x14ac:dyDescent="0.35">
      <c r="A1212" t="s">
        <v>147</v>
      </c>
      <c r="B1212">
        <v>10104</v>
      </c>
      <c r="C1212">
        <v>1.4368000000000001E-2</v>
      </c>
      <c r="D1212" s="5">
        <v>6.9444996999999997E-7</v>
      </c>
      <c r="E1212">
        <v>8.6387536000000001E-3</v>
      </c>
      <c r="F1212">
        <v>-1.6720000000000001E-3</v>
      </c>
      <c r="G1212" t="s">
        <v>211</v>
      </c>
      <c r="I1212">
        <f t="shared" ref="I1212:I1274" si="64">C1212-D1212</f>
        <v>1.4367305550030001E-2</v>
      </c>
      <c r="J1212">
        <f t="shared" ref="J1212:J1274" si="65">E1212-D1212</f>
        <v>8.6380591500300006E-3</v>
      </c>
      <c r="K1212">
        <f t="shared" ref="K1212:K1274" si="66">F1212-D1212</f>
        <v>-1.67269444997E-3</v>
      </c>
    </row>
    <row r="1213" spans="1:11" x14ac:dyDescent="0.35">
      <c r="A1213" t="s">
        <v>148</v>
      </c>
      <c r="B1213">
        <v>10104</v>
      </c>
      <c r="C1213">
        <v>-2.98E-3</v>
      </c>
      <c r="D1213" s="5">
        <v>-1.3888861999999999E-7</v>
      </c>
      <c r="E1213">
        <v>1.0356373E-2</v>
      </c>
      <c r="F1213">
        <v>5.5519999999999996E-3</v>
      </c>
      <c r="G1213" t="s">
        <v>211</v>
      </c>
      <c r="I1213">
        <f t="shared" si="64"/>
        <v>-2.9798611113800002E-3</v>
      </c>
      <c r="J1213">
        <f t="shared" si="65"/>
        <v>1.0356511888620001E-2</v>
      </c>
      <c r="K1213">
        <f t="shared" si="66"/>
        <v>5.5521388886199995E-3</v>
      </c>
    </row>
    <row r="1214" spans="1:11" x14ac:dyDescent="0.35">
      <c r="A1214" t="s">
        <v>149</v>
      </c>
      <c r="B1214">
        <v>10104</v>
      </c>
      <c r="C1214">
        <v>-7.3349999999999999E-2</v>
      </c>
      <c r="D1214" s="5">
        <v>2.7777881000000001E-7</v>
      </c>
      <c r="E1214">
        <v>-1.9239652999999999E-2</v>
      </c>
      <c r="F1214">
        <v>-1.5162E-2</v>
      </c>
      <c r="G1214" t="s">
        <v>211</v>
      </c>
      <c r="I1214">
        <f t="shared" si="64"/>
        <v>-7.3350277778809994E-2</v>
      </c>
      <c r="J1214">
        <f t="shared" si="65"/>
        <v>-1.9239930778809998E-2</v>
      </c>
      <c r="K1214">
        <f t="shared" si="66"/>
        <v>-1.5162277778810001E-2</v>
      </c>
    </row>
    <row r="1215" spans="1:11" x14ac:dyDescent="0.35">
      <c r="A1215" t="s">
        <v>150</v>
      </c>
      <c r="B1215">
        <v>10104</v>
      </c>
      <c r="C1215">
        <v>-5.2110000000000004E-3</v>
      </c>
      <c r="D1215" s="5">
        <v>1.3888911E-7</v>
      </c>
      <c r="E1215">
        <v>1.2304676000000001E-2</v>
      </c>
      <c r="F1215">
        <v>-6.6210000000000005E-2</v>
      </c>
      <c r="G1215" t="s">
        <v>211</v>
      </c>
      <c r="I1215">
        <f t="shared" si="64"/>
        <v>-5.2111388891100006E-3</v>
      </c>
      <c r="J1215">
        <f t="shared" si="65"/>
        <v>1.2304537110890001E-2</v>
      </c>
      <c r="K1215">
        <f t="shared" si="66"/>
        <v>-6.621013888911001E-2</v>
      </c>
    </row>
    <row r="1216" spans="1:11" x14ac:dyDescent="0.35">
      <c r="A1216" t="s">
        <v>151</v>
      </c>
      <c r="B1216">
        <v>10104</v>
      </c>
      <c r="C1216">
        <v>-7.1357000000000004E-2</v>
      </c>
      <c r="D1216" s="5">
        <v>8.3334270999999995E-7</v>
      </c>
      <c r="E1216">
        <v>-6.0059883000000001E-2</v>
      </c>
      <c r="F1216">
        <v>3.7072000000000001E-2</v>
      </c>
      <c r="G1216" t="s">
        <v>211</v>
      </c>
      <c r="I1216">
        <f t="shared" si="64"/>
        <v>-7.1357833342710009E-2</v>
      </c>
      <c r="J1216">
        <f t="shared" si="65"/>
        <v>-6.0060716342709999E-2</v>
      </c>
      <c r="K1216">
        <f t="shared" si="66"/>
        <v>3.7071166657290003E-2</v>
      </c>
    </row>
    <row r="1217" spans="1:11" x14ac:dyDescent="0.35">
      <c r="A1217" t="s">
        <v>152</v>
      </c>
      <c r="B1217">
        <v>10104</v>
      </c>
      <c r="C1217">
        <v>-2.6152999999999999E-2</v>
      </c>
      <c r="D1217" s="5">
        <v>2.7777869999999999E-7</v>
      </c>
      <c r="E1217">
        <v>-3.3820637000000001E-2</v>
      </c>
      <c r="F1217">
        <v>-1.8010999999999999E-2</v>
      </c>
      <c r="G1217" t="s">
        <v>211</v>
      </c>
      <c r="I1217">
        <f t="shared" si="64"/>
        <v>-2.6153277778699999E-2</v>
      </c>
      <c r="J1217">
        <f t="shared" si="65"/>
        <v>-3.3820914778700001E-2</v>
      </c>
      <c r="K1217">
        <f t="shared" si="66"/>
        <v>-1.8011277778699999E-2</v>
      </c>
    </row>
    <row r="1218" spans="1:11" x14ac:dyDescent="0.35">
      <c r="A1218" t="s">
        <v>153</v>
      </c>
      <c r="B1218">
        <v>10104</v>
      </c>
      <c r="C1218">
        <v>7.9457E-2</v>
      </c>
      <c r="D1218" s="5">
        <v>-2.7777693000000002E-7</v>
      </c>
      <c r="E1218">
        <v>7.4186891000000005E-2</v>
      </c>
      <c r="F1218">
        <v>2.2834E-2</v>
      </c>
      <c r="G1218" t="s">
        <v>211</v>
      </c>
      <c r="I1218">
        <f t="shared" si="64"/>
        <v>7.9457277776929999E-2</v>
      </c>
      <c r="J1218">
        <f t="shared" si="65"/>
        <v>7.4187168776930004E-2</v>
      </c>
      <c r="K1218">
        <f t="shared" si="66"/>
        <v>2.283427777693E-2</v>
      </c>
    </row>
    <row r="1219" spans="1:11" x14ac:dyDescent="0.35">
      <c r="A1219" t="s">
        <v>154</v>
      </c>
      <c r="B1219">
        <v>10104</v>
      </c>
      <c r="C1219">
        <v>3.3470000000000001E-3</v>
      </c>
      <c r="D1219" s="5">
        <v>2.7777887000000002E-7</v>
      </c>
      <c r="E1219">
        <v>6.7570386000000001E-3</v>
      </c>
      <c r="F1219">
        <v>-6.7520999999999998E-2</v>
      </c>
      <c r="G1219" t="s">
        <v>211</v>
      </c>
      <c r="I1219">
        <f t="shared" si="64"/>
        <v>3.3467222211300001E-3</v>
      </c>
      <c r="J1219">
        <f t="shared" si="65"/>
        <v>6.7567608211300005E-3</v>
      </c>
      <c r="K1219">
        <f t="shared" si="66"/>
        <v>-6.7521277778870001E-2</v>
      </c>
    </row>
    <row r="1220" spans="1:11" x14ac:dyDescent="0.35">
      <c r="A1220" t="s">
        <v>155</v>
      </c>
      <c r="B1220">
        <v>10104</v>
      </c>
      <c r="C1220">
        <v>-6.2612000000000001E-2</v>
      </c>
      <c r="D1220" s="5">
        <v>2.7778703E-6</v>
      </c>
      <c r="E1220">
        <v>-2.2346674E-2</v>
      </c>
      <c r="F1220">
        <v>-4.5129999999999997E-3</v>
      </c>
      <c r="G1220" t="s">
        <v>211</v>
      </c>
      <c r="I1220">
        <f t="shared" si="64"/>
        <v>-6.2614777870299995E-2</v>
      </c>
      <c r="J1220">
        <f t="shared" si="65"/>
        <v>-2.2349451870300002E-2</v>
      </c>
      <c r="K1220">
        <f t="shared" si="66"/>
        <v>-4.5157778702999999E-3</v>
      </c>
    </row>
    <row r="1221" spans="1:11" x14ac:dyDescent="0.35">
      <c r="A1221" t="s">
        <v>156</v>
      </c>
      <c r="B1221">
        <v>10104</v>
      </c>
      <c r="C1221">
        <v>-1.916E-3</v>
      </c>
      <c r="D1221" s="5">
        <v>3.8891008000000001E-6</v>
      </c>
      <c r="E1221">
        <v>-5.6998282999999997E-2</v>
      </c>
      <c r="F1221">
        <v>5.4101999999999997E-2</v>
      </c>
      <c r="G1221" t="s">
        <v>211</v>
      </c>
      <c r="I1221">
        <f t="shared" si="64"/>
        <v>-1.9198891008E-3</v>
      </c>
      <c r="J1221">
        <f t="shared" si="65"/>
        <v>-5.7002172100799997E-2</v>
      </c>
      <c r="K1221">
        <f t="shared" si="66"/>
        <v>5.4098110899199997E-2</v>
      </c>
    </row>
    <row r="1222" spans="1:11" x14ac:dyDescent="0.35">
      <c r="A1222" t="s">
        <v>157</v>
      </c>
      <c r="B1222">
        <v>10104</v>
      </c>
      <c r="C1222">
        <v>1.2944000000000001E-2</v>
      </c>
      <c r="D1222" s="5">
        <v>6.2505273000000001E-6</v>
      </c>
      <c r="E1222">
        <v>6.8726775000000002E-4</v>
      </c>
      <c r="F1222">
        <v>0.10931200000000001</v>
      </c>
      <c r="G1222" t="s">
        <v>211</v>
      </c>
      <c r="I1222">
        <f t="shared" si="64"/>
        <v>1.2937749472700001E-2</v>
      </c>
      <c r="J1222">
        <f t="shared" si="65"/>
        <v>6.8101722270000006E-4</v>
      </c>
      <c r="K1222">
        <f t="shared" si="66"/>
        <v>0.10930574947270001</v>
      </c>
    </row>
    <row r="1223" spans="1:11" x14ac:dyDescent="0.35">
      <c r="A1223" t="s">
        <v>158</v>
      </c>
      <c r="B1223">
        <v>10104</v>
      </c>
      <c r="C1223">
        <v>0.112289</v>
      </c>
      <c r="D1223" s="5">
        <v>6.2504687000000001E-6</v>
      </c>
      <c r="E1223">
        <v>7.0505328000000006E-2</v>
      </c>
      <c r="F1223">
        <v>-8.4290000000000007E-3</v>
      </c>
      <c r="G1223" t="s">
        <v>211</v>
      </c>
      <c r="I1223">
        <f t="shared" si="64"/>
        <v>0.11228274953130001</v>
      </c>
      <c r="J1223">
        <f t="shared" si="65"/>
        <v>7.0499077531300011E-2</v>
      </c>
      <c r="K1223">
        <f t="shared" si="66"/>
        <v>-8.4352504687000007E-3</v>
      </c>
    </row>
    <row r="1224" spans="1:11" x14ac:dyDescent="0.35">
      <c r="A1224" t="s">
        <v>159</v>
      </c>
      <c r="B1224">
        <v>10104</v>
      </c>
      <c r="C1224">
        <v>-2.1999000000000001E-2</v>
      </c>
      <c r="D1224" s="5">
        <v>4.7225344000000004E-6</v>
      </c>
      <c r="E1224">
        <v>1.1831184E-2</v>
      </c>
      <c r="F1224">
        <v>5.1088000000000001E-2</v>
      </c>
      <c r="G1224" t="s">
        <v>211</v>
      </c>
      <c r="I1224">
        <f t="shared" si="64"/>
        <v>-2.20037225344E-2</v>
      </c>
      <c r="J1224">
        <f t="shared" si="65"/>
        <v>1.1826461465599999E-2</v>
      </c>
      <c r="K1224">
        <f t="shared" si="66"/>
        <v>5.1083277465599999E-2</v>
      </c>
    </row>
    <row r="1225" spans="1:11" x14ac:dyDescent="0.35">
      <c r="A1225" t="s">
        <v>160</v>
      </c>
      <c r="B1225">
        <v>10104</v>
      </c>
      <c r="C1225">
        <v>8.5299999999999994E-3</v>
      </c>
      <c r="D1225" s="5">
        <v>4.3058058000000002E-6</v>
      </c>
      <c r="E1225">
        <v>1.4391575E-2</v>
      </c>
      <c r="F1225">
        <v>-6.1383E-2</v>
      </c>
      <c r="G1225" t="s">
        <v>211</v>
      </c>
      <c r="I1225">
        <f t="shared" si="64"/>
        <v>8.5256941942000002E-3</v>
      </c>
      <c r="J1225">
        <f t="shared" si="65"/>
        <v>1.4387269194200001E-2</v>
      </c>
      <c r="K1225">
        <f t="shared" si="66"/>
        <v>-6.1387305805799999E-2</v>
      </c>
    </row>
    <row r="1226" spans="1:11" x14ac:dyDescent="0.35">
      <c r="A1226" t="s">
        <v>161</v>
      </c>
      <c r="B1226">
        <v>10104</v>
      </c>
      <c r="C1226">
        <v>1.8159000000000002E-2</v>
      </c>
      <c r="D1226" s="5">
        <v>5.0002877000000001E-6</v>
      </c>
      <c r="E1226">
        <v>3.1732204000000002E-3</v>
      </c>
      <c r="F1226">
        <v>8.9694999999999997E-2</v>
      </c>
      <c r="G1226" t="s">
        <v>211</v>
      </c>
      <c r="I1226">
        <f t="shared" si="64"/>
        <v>1.8153999712300001E-2</v>
      </c>
      <c r="J1226">
        <f t="shared" si="65"/>
        <v>3.1682201123000003E-3</v>
      </c>
      <c r="K1226">
        <f t="shared" si="66"/>
        <v>8.9689999712300003E-2</v>
      </c>
    </row>
    <row r="1227" spans="1:11" x14ac:dyDescent="0.35">
      <c r="A1227" t="s">
        <v>162</v>
      </c>
      <c r="B1227">
        <v>10104</v>
      </c>
      <c r="C1227">
        <v>6.352E-3</v>
      </c>
      <c r="D1227" s="5">
        <v>5.1392584999999999E-6</v>
      </c>
      <c r="E1227">
        <v>3.8786817000000001E-2</v>
      </c>
      <c r="F1227">
        <v>1.9847E-2</v>
      </c>
      <c r="G1227" t="s">
        <v>211</v>
      </c>
      <c r="I1227">
        <f t="shared" si="64"/>
        <v>6.3468607414999996E-3</v>
      </c>
      <c r="J1227">
        <f t="shared" si="65"/>
        <v>3.8781677741500001E-2</v>
      </c>
      <c r="K1227">
        <f t="shared" si="66"/>
        <v>1.98418607415E-2</v>
      </c>
    </row>
    <row r="1228" spans="1:11" x14ac:dyDescent="0.35">
      <c r="A1228" t="s">
        <v>163</v>
      </c>
      <c r="B1228">
        <v>10104</v>
      </c>
      <c r="C1228">
        <v>4.3860000000000001E-3</v>
      </c>
      <c r="D1228" s="5">
        <v>5.0003378000000001E-6</v>
      </c>
      <c r="E1228">
        <v>2.7987469999999999E-3</v>
      </c>
      <c r="F1228">
        <v>-3.2563000000000002E-2</v>
      </c>
      <c r="G1228" t="s">
        <v>211</v>
      </c>
      <c r="I1228">
        <f t="shared" si="64"/>
        <v>4.3809996622000006E-3</v>
      </c>
      <c r="J1228">
        <f t="shared" si="65"/>
        <v>2.7937466621999999E-3</v>
      </c>
      <c r="K1228">
        <f t="shared" si="66"/>
        <v>-3.2568000337800003E-2</v>
      </c>
    </row>
    <row r="1229" spans="1:11" x14ac:dyDescent="0.35">
      <c r="A1229" t="s">
        <v>164</v>
      </c>
      <c r="B1229">
        <v>10104</v>
      </c>
      <c r="C1229">
        <v>-4.7065000000000003E-2</v>
      </c>
      <c r="D1229" s="5">
        <v>6.8060649000000001E-6</v>
      </c>
      <c r="E1229">
        <v>3.0445021000000002E-3</v>
      </c>
      <c r="F1229">
        <v>6.8919999999999997E-3</v>
      </c>
      <c r="G1229" t="s">
        <v>211</v>
      </c>
      <c r="I1229">
        <f t="shared" si="64"/>
        <v>-4.7071806064900003E-2</v>
      </c>
      <c r="J1229">
        <f t="shared" si="65"/>
        <v>3.0376960351E-3</v>
      </c>
      <c r="K1229">
        <f t="shared" si="66"/>
        <v>6.8851939350999996E-3</v>
      </c>
    </row>
    <row r="1230" spans="1:11" x14ac:dyDescent="0.35">
      <c r="A1230" t="s">
        <v>165</v>
      </c>
      <c r="B1230">
        <v>10104</v>
      </c>
      <c r="C1230">
        <v>-1.8075000000000001E-2</v>
      </c>
      <c r="D1230" s="5">
        <v>5.5559721999999998E-6</v>
      </c>
      <c r="E1230">
        <v>-2.7060966999999998E-2</v>
      </c>
      <c r="F1230">
        <v>-2.9448999999999999E-2</v>
      </c>
      <c r="G1230" t="s">
        <v>211</v>
      </c>
      <c r="I1230">
        <f t="shared" si="64"/>
        <v>-1.8080555972199999E-2</v>
      </c>
      <c r="J1230">
        <f t="shared" si="65"/>
        <v>-2.7066522972199997E-2</v>
      </c>
      <c r="K1230">
        <f t="shared" si="66"/>
        <v>-2.9454555972199998E-2</v>
      </c>
    </row>
    <row r="1231" spans="1:11" x14ac:dyDescent="0.35">
      <c r="A1231" t="s">
        <v>166</v>
      </c>
      <c r="B1231">
        <v>10104</v>
      </c>
      <c r="C1231">
        <v>4.607E-2</v>
      </c>
      <c r="D1231" s="5">
        <v>5.0003127000000001E-6</v>
      </c>
      <c r="E1231">
        <v>4.0418684000000003E-2</v>
      </c>
      <c r="F1231">
        <v>-8.3566000000000001E-2</v>
      </c>
      <c r="G1231" t="s">
        <v>211</v>
      </c>
      <c r="I1231">
        <f t="shared" si="64"/>
        <v>4.6064999687299997E-2</v>
      </c>
      <c r="J1231">
        <f t="shared" si="65"/>
        <v>4.04136836873E-2</v>
      </c>
      <c r="K1231">
        <f t="shared" si="66"/>
        <v>-8.3571000312699997E-2</v>
      </c>
    </row>
    <row r="1232" spans="1:11" x14ac:dyDescent="0.35">
      <c r="A1232" t="s">
        <v>167</v>
      </c>
      <c r="B1232">
        <v>10104</v>
      </c>
      <c r="C1232">
        <v>-4.3293999999999999E-2</v>
      </c>
      <c r="D1232" s="5">
        <v>6.9449747999999996E-6</v>
      </c>
      <c r="E1232">
        <v>1.8747913000000001E-2</v>
      </c>
      <c r="F1232">
        <v>-1.915E-2</v>
      </c>
      <c r="G1232" t="s">
        <v>211</v>
      </c>
      <c r="I1232">
        <f t="shared" si="64"/>
        <v>-4.3300944974799999E-2</v>
      </c>
      <c r="J1232">
        <f t="shared" si="65"/>
        <v>1.8740968025200002E-2</v>
      </c>
      <c r="K1232">
        <f t="shared" si="66"/>
        <v>-1.91569449748E-2</v>
      </c>
    </row>
    <row r="1233" spans="1:11" x14ac:dyDescent="0.35">
      <c r="A1233" t="s">
        <v>168</v>
      </c>
      <c r="B1233">
        <v>10104</v>
      </c>
      <c r="C1233">
        <v>4.7073999999999998E-2</v>
      </c>
      <c r="D1233" s="5">
        <v>1.2502110000000001E-5</v>
      </c>
      <c r="E1233">
        <v>2.2173285000000001E-2</v>
      </c>
      <c r="F1233">
        <v>5.4191999999999997E-2</v>
      </c>
      <c r="G1233" t="s">
        <v>211</v>
      </c>
      <c r="I1233">
        <f t="shared" si="64"/>
        <v>4.7061497889999998E-2</v>
      </c>
      <c r="J1233">
        <f t="shared" si="65"/>
        <v>2.2160782890000001E-2</v>
      </c>
      <c r="K1233">
        <f t="shared" si="66"/>
        <v>5.4179497889999997E-2</v>
      </c>
    </row>
    <row r="1234" spans="1:11" x14ac:dyDescent="0.35">
      <c r="A1234" t="s">
        <v>169</v>
      </c>
      <c r="B1234">
        <v>10104</v>
      </c>
      <c r="C1234">
        <v>6.1830000000000003E-2</v>
      </c>
      <c r="D1234" s="5">
        <v>1.3057516E-5</v>
      </c>
      <c r="E1234">
        <v>3.2628167E-2</v>
      </c>
      <c r="F1234">
        <v>3.1848000000000001E-2</v>
      </c>
      <c r="G1234" t="s">
        <v>211</v>
      </c>
      <c r="I1234">
        <f t="shared" si="64"/>
        <v>6.1816942484000006E-2</v>
      </c>
      <c r="J1234">
        <f t="shared" si="65"/>
        <v>3.2615109484000003E-2</v>
      </c>
      <c r="K1234">
        <f t="shared" si="66"/>
        <v>3.1834942484000005E-2</v>
      </c>
    </row>
    <row r="1235" spans="1:11" x14ac:dyDescent="0.35">
      <c r="A1235" t="s">
        <v>170</v>
      </c>
      <c r="B1235">
        <v>10104</v>
      </c>
      <c r="C1235">
        <v>4.7428999999999999E-2</v>
      </c>
      <c r="D1235" s="5">
        <v>1.2223941E-5</v>
      </c>
      <c r="E1235">
        <v>2.0500966000000002E-3</v>
      </c>
      <c r="F1235">
        <v>-4.2770000000000004E-3</v>
      </c>
      <c r="G1235" t="s">
        <v>211</v>
      </c>
      <c r="I1235">
        <f t="shared" si="64"/>
        <v>4.7416776059E-2</v>
      </c>
      <c r="J1235">
        <f t="shared" si="65"/>
        <v>2.037872659E-3</v>
      </c>
      <c r="K1235">
        <f t="shared" si="66"/>
        <v>-4.2892239410000001E-3</v>
      </c>
    </row>
    <row r="1236" spans="1:11" x14ac:dyDescent="0.35">
      <c r="A1236" t="s">
        <v>171</v>
      </c>
      <c r="B1236">
        <v>10104</v>
      </c>
      <c r="C1236">
        <v>1.2104999999999999E-2</v>
      </c>
      <c r="D1236" s="5">
        <v>2.0088781000000001E-5</v>
      </c>
      <c r="E1236">
        <v>9.6190701999999996E-3</v>
      </c>
      <c r="F1236">
        <v>1.7267000000000001E-2</v>
      </c>
      <c r="G1236" t="s">
        <v>211</v>
      </c>
      <c r="I1236">
        <f t="shared" si="64"/>
        <v>1.2084911218999999E-2</v>
      </c>
      <c r="J1236">
        <f t="shared" si="65"/>
        <v>9.5989814189999991E-3</v>
      </c>
      <c r="K1236">
        <f t="shared" si="66"/>
        <v>1.7246911219000002E-2</v>
      </c>
    </row>
    <row r="1237" spans="1:11" x14ac:dyDescent="0.35">
      <c r="A1237" t="s">
        <v>172</v>
      </c>
      <c r="B1237">
        <v>10104</v>
      </c>
      <c r="C1237">
        <v>9.5639999999999996E-3</v>
      </c>
      <c r="D1237" s="5">
        <v>1.8337871999999999E-5</v>
      </c>
      <c r="E1237">
        <v>9.3579440999999996E-3</v>
      </c>
      <c r="F1237">
        <v>-1.242E-3</v>
      </c>
      <c r="G1237" t="s">
        <v>211</v>
      </c>
      <c r="I1237">
        <f t="shared" si="64"/>
        <v>9.5456621279999994E-3</v>
      </c>
      <c r="J1237">
        <f t="shared" si="65"/>
        <v>9.3396062279999994E-3</v>
      </c>
      <c r="K1237">
        <f t="shared" si="66"/>
        <v>-1.260337872E-3</v>
      </c>
    </row>
    <row r="1238" spans="1:11" x14ac:dyDescent="0.35">
      <c r="A1238" t="s">
        <v>173</v>
      </c>
      <c r="B1238">
        <v>10104</v>
      </c>
      <c r="C1238">
        <v>0.10464900000000001</v>
      </c>
      <c r="D1238" s="5">
        <v>2.0282302999999999E-5</v>
      </c>
      <c r="E1238">
        <v>9.6782167000000006E-3</v>
      </c>
      <c r="F1238">
        <v>-2.1555000000000001E-2</v>
      </c>
      <c r="G1238" t="s">
        <v>211</v>
      </c>
      <c r="I1238">
        <f t="shared" si="64"/>
        <v>0.10462871769700001</v>
      </c>
      <c r="J1238">
        <f t="shared" si="65"/>
        <v>9.6579343970000005E-3</v>
      </c>
      <c r="K1238">
        <f t="shared" si="66"/>
        <v>-2.1575282303000001E-2</v>
      </c>
    </row>
    <row r="1239" spans="1:11" x14ac:dyDescent="0.35">
      <c r="A1239" t="s">
        <v>174</v>
      </c>
      <c r="B1239">
        <v>10104</v>
      </c>
      <c r="C1239">
        <v>-3.9899999999999999E-4</v>
      </c>
      <c r="D1239" s="5">
        <v>2.2784785000000001E-5</v>
      </c>
      <c r="E1239">
        <v>1.7181420999999999E-2</v>
      </c>
      <c r="F1239">
        <v>2.3132E-2</v>
      </c>
      <c r="G1239" t="s">
        <v>211</v>
      </c>
      <c r="I1239">
        <f t="shared" si="64"/>
        <v>-4.2178478499999998E-4</v>
      </c>
      <c r="J1239">
        <f t="shared" si="65"/>
        <v>1.7158636214999998E-2</v>
      </c>
      <c r="K1239">
        <f t="shared" si="66"/>
        <v>2.3109215214999999E-2</v>
      </c>
    </row>
    <row r="1240" spans="1:11" x14ac:dyDescent="0.35">
      <c r="A1240" t="s">
        <v>175</v>
      </c>
      <c r="B1240">
        <v>10104</v>
      </c>
      <c r="C1240">
        <v>8.0110000000000008E-3</v>
      </c>
      <c r="D1240" s="5">
        <v>2.6814181E-5</v>
      </c>
      <c r="E1240">
        <v>1.6129673E-3</v>
      </c>
      <c r="F1240">
        <v>4.1987999999999998E-2</v>
      </c>
      <c r="G1240" t="s">
        <v>211</v>
      </c>
      <c r="I1240">
        <f t="shared" si="64"/>
        <v>7.984185819000001E-3</v>
      </c>
      <c r="J1240">
        <f t="shared" si="65"/>
        <v>1.586153119E-3</v>
      </c>
      <c r="K1240">
        <f t="shared" si="66"/>
        <v>4.1961185818999998E-2</v>
      </c>
    </row>
    <row r="1241" spans="1:11" x14ac:dyDescent="0.35">
      <c r="A1241" t="s">
        <v>176</v>
      </c>
      <c r="B1241">
        <v>10104</v>
      </c>
      <c r="C1241">
        <v>-3.934E-2</v>
      </c>
      <c r="D1241" s="5">
        <v>2.4980956E-5</v>
      </c>
      <c r="E1241">
        <v>2.3813292E-2</v>
      </c>
      <c r="F1241">
        <v>-3.3699E-2</v>
      </c>
      <c r="G1241" t="s">
        <v>211</v>
      </c>
      <c r="I1241">
        <f t="shared" si="64"/>
        <v>-3.9364980956000002E-2</v>
      </c>
      <c r="J1241">
        <f t="shared" si="65"/>
        <v>2.3788311044000001E-2</v>
      </c>
      <c r="K1241">
        <f t="shared" si="66"/>
        <v>-3.3723980956000002E-2</v>
      </c>
    </row>
    <row r="1242" spans="1:11" x14ac:dyDescent="0.35">
      <c r="A1242" t="s">
        <v>177</v>
      </c>
      <c r="B1242">
        <v>10104</v>
      </c>
      <c r="C1242">
        <v>5.6669999999999998E-2</v>
      </c>
      <c r="D1242" s="5">
        <v>2.6120319999999999E-5</v>
      </c>
      <c r="E1242">
        <v>2.134813E-2</v>
      </c>
      <c r="F1242">
        <v>-7.4850000000000003E-3</v>
      </c>
      <c r="G1242" t="s">
        <v>211</v>
      </c>
      <c r="I1242">
        <f t="shared" si="64"/>
        <v>5.6643879679999995E-2</v>
      </c>
      <c r="J1242">
        <f t="shared" si="65"/>
        <v>2.132200968E-2</v>
      </c>
      <c r="K1242">
        <f t="shared" si="66"/>
        <v>-7.5111203200000001E-3</v>
      </c>
    </row>
    <row r="1243" spans="1:11" x14ac:dyDescent="0.35">
      <c r="A1243" t="s">
        <v>178</v>
      </c>
      <c r="B1243">
        <v>10104</v>
      </c>
      <c r="C1243">
        <v>-3.6149000000000001E-2</v>
      </c>
      <c r="D1243" s="5">
        <v>2.6814181E-5</v>
      </c>
      <c r="E1243">
        <v>2.7409703000000001E-2</v>
      </c>
      <c r="F1243">
        <v>3.5630000000000002E-3</v>
      </c>
      <c r="G1243" t="s">
        <v>211</v>
      </c>
      <c r="I1243">
        <f t="shared" si="64"/>
        <v>-3.6175814181E-2</v>
      </c>
      <c r="J1243">
        <f t="shared" si="65"/>
        <v>2.7382888819000001E-2</v>
      </c>
      <c r="K1243">
        <f t="shared" si="66"/>
        <v>3.536185819E-3</v>
      </c>
    </row>
    <row r="1244" spans="1:11" x14ac:dyDescent="0.35">
      <c r="A1244" t="s">
        <v>179</v>
      </c>
      <c r="B1244">
        <v>10104</v>
      </c>
      <c r="C1244">
        <v>-3.6282000000000002E-2</v>
      </c>
      <c r="D1244" s="5">
        <v>3.0985658999999998E-5</v>
      </c>
      <c r="E1244">
        <v>1.2286760000000001E-2</v>
      </c>
      <c r="F1244">
        <v>2.1056999999999999E-2</v>
      </c>
      <c r="G1244" t="s">
        <v>211</v>
      </c>
      <c r="I1244">
        <f t="shared" si="64"/>
        <v>-3.6312985658999999E-2</v>
      </c>
      <c r="J1244">
        <f t="shared" si="65"/>
        <v>1.2255774341000001E-2</v>
      </c>
      <c r="K1244">
        <f t="shared" si="66"/>
        <v>2.1026014340999998E-2</v>
      </c>
    </row>
    <row r="1245" spans="1:11" x14ac:dyDescent="0.35">
      <c r="A1245" t="s">
        <v>180</v>
      </c>
      <c r="B1245">
        <v>10104</v>
      </c>
      <c r="C1245">
        <v>9.5177999999999999E-2</v>
      </c>
      <c r="D1245" s="5">
        <v>3.4738506999999999E-5</v>
      </c>
      <c r="E1245">
        <v>5.0687826999999998E-2</v>
      </c>
      <c r="F1245">
        <v>3.2349000000000003E-2</v>
      </c>
      <c r="G1245" t="s">
        <v>211</v>
      </c>
      <c r="I1245">
        <f t="shared" si="64"/>
        <v>9.5143261492999995E-2</v>
      </c>
      <c r="J1245">
        <f t="shared" si="65"/>
        <v>5.0653088493000001E-2</v>
      </c>
      <c r="K1245">
        <f t="shared" si="66"/>
        <v>3.2314261493000006E-2</v>
      </c>
    </row>
    <row r="1246" spans="1:11" x14ac:dyDescent="0.35">
      <c r="A1246" t="s">
        <v>181</v>
      </c>
      <c r="B1246">
        <v>10104</v>
      </c>
      <c r="C1246">
        <v>-1.7833000000000002E-2</v>
      </c>
      <c r="D1246" s="5">
        <v>3.2789600999999998E-5</v>
      </c>
      <c r="E1246">
        <v>-3.9435158999999997E-2</v>
      </c>
      <c r="F1246">
        <v>-2.0760000000000001E-2</v>
      </c>
      <c r="G1246" t="s">
        <v>211</v>
      </c>
      <c r="I1246">
        <f t="shared" si="64"/>
        <v>-1.7865789601000003E-2</v>
      </c>
      <c r="J1246">
        <f t="shared" si="65"/>
        <v>-3.9467948600999996E-2</v>
      </c>
      <c r="K1246">
        <f t="shared" si="66"/>
        <v>-2.0792789601000002E-2</v>
      </c>
    </row>
    <row r="1247" spans="1:11" x14ac:dyDescent="0.35">
      <c r="A1247" t="s">
        <v>182</v>
      </c>
      <c r="B1247">
        <v>10104</v>
      </c>
      <c r="C1247">
        <v>-9.7099000000000005E-2</v>
      </c>
      <c r="D1247" s="5">
        <v>3.7376473999999999E-5</v>
      </c>
      <c r="E1247">
        <v>-1.8494523999999998E-2</v>
      </c>
      <c r="F1247">
        <v>6.3200000000000001E-3</v>
      </c>
      <c r="G1247" t="s">
        <v>211</v>
      </c>
      <c r="I1247">
        <f t="shared" si="64"/>
        <v>-9.7136376474000002E-2</v>
      </c>
      <c r="J1247">
        <f t="shared" si="65"/>
        <v>-1.8531900473999999E-2</v>
      </c>
      <c r="K1247">
        <f t="shared" si="66"/>
        <v>6.2826235259999998E-3</v>
      </c>
    </row>
    <row r="1248" spans="1:11" x14ac:dyDescent="0.35">
      <c r="A1248" t="s">
        <v>183</v>
      </c>
      <c r="B1248">
        <v>10104</v>
      </c>
      <c r="C1248">
        <v>2.4039999999999999E-3</v>
      </c>
      <c r="D1248" s="5">
        <v>4.4472123E-5</v>
      </c>
      <c r="E1248">
        <v>4.8402747999999997E-3</v>
      </c>
      <c r="F1248">
        <v>-9.5399999999999999E-3</v>
      </c>
      <c r="G1248" t="s">
        <v>211</v>
      </c>
      <c r="I1248">
        <f t="shared" si="64"/>
        <v>2.3595278769999997E-3</v>
      </c>
      <c r="J1248">
        <f t="shared" si="65"/>
        <v>4.7958026769999995E-3</v>
      </c>
      <c r="K1248">
        <f t="shared" si="66"/>
        <v>-9.5844721229999992E-3</v>
      </c>
    </row>
    <row r="1249" spans="1:11" x14ac:dyDescent="0.35">
      <c r="A1249" t="s">
        <v>184</v>
      </c>
      <c r="B1249">
        <v>10104</v>
      </c>
      <c r="C1249">
        <v>2.2991000000000001E-2</v>
      </c>
      <c r="D1249" s="5">
        <v>4.5024317000000002E-5</v>
      </c>
      <c r="E1249">
        <v>2.6277516000000001E-2</v>
      </c>
      <c r="F1249">
        <v>-1.1958999999999999E-2</v>
      </c>
      <c r="G1249" t="s">
        <v>211</v>
      </c>
      <c r="I1249">
        <f t="shared" si="64"/>
        <v>2.2945975683000001E-2</v>
      </c>
      <c r="J1249">
        <f t="shared" si="65"/>
        <v>2.6232491683E-2</v>
      </c>
      <c r="K1249">
        <f t="shared" si="66"/>
        <v>-1.2004024316999999E-2</v>
      </c>
    </row>
    <row r="1250" spans="1:11" x14ac:dyDescent="0.35">
      <c r="A1250" t="s">
        <v>185</v>
      </c>
      <c r="B1250">
        <v>10104</v>
      </c>
      <c r="C1250">
        <v>-5.6934999999999999E-2</v>
      </c>
      <c r="D1250" s="5">
        <v>4.7670687999999998E-5</v>
      </c>
      <c r="E1250">
        <v>5.2912380000000002E-3</v>
      </c>
      <c r="F1250">
        <v>-3.6149000000000001E-2</v>
      </c>
      <c r="G1250" t="s">
        <v>211</v>
      </c>
      <c r="I1250">
        <f t="shared" si="64"/>
        <v>-5.6982670687999996E-2</v>
      </c>
      <c r="J1250">
        <f t="shared" si="65"/>
        <v>5.2435673119999998E-3</v>
      </c>
      <c r="K1250">
        <f t="shared" si="66"/>
        <v>-3.6196670687999997E-2</v>
      </c>
    </row>
    <row r="1251" spans="1:11" x14ac:dyDescent="0.35">
      <c r="A1251" t="s">
        <v>186</v>
      </c>
      <c r="B1251">
        <v>10104</v>
      </c>
      <c r="C1251">
        <v>8.6472999999999994E-2</v>
      </c>
      <c r="D1251" s="5">
        <v>4.8086759999999999E-5</v>
      </c>
      <c r="E1251">
        <v>3.1689063000000003E-2</v>
      </c>
      <c r="F1251">
        <v>-2.2419000000000001E-2</v>
      </c>
      <c r="G1251" t="s">
        <v>211</v>
      </c>
      <c r="I1251">
        <f t="shared" si="64"/>
        <v>8.6424913239999998E-2</v>
      </c>
      <c r="J1251">
        <f t="shared" si="65"/>
        <v>3.164097624E-2</v>
      </c>
      <c r="K1251">
        <f t="shared" si="66"/>
        <v>-2.2467086760000001E-2</v>
      </c>
    </row>
    <row r="1252" spans="1:11" x14ac:dyDescent="0.35">
      <c r="A1252" t="s">
        <v>187</v>
      </c>
      <c r="B1252">
        <v>10104</v>
      </c>
      <c r="C1252">
        <v>1.8876E-2</v>
      </c>
      <c r="D1252" s="5">
        <v>5.1975497999999999E-5</v>
      </c>
      <c r="E1252">
        <v>3.0351875E-2</v>
      </c>
      <c r="F1252">
        <v>-2.1381000000000001E-2</v>
      </c>
      <c r="G1252" t="s">
        <v>211</v>
      </c>
      <c r="I1252">
        <f t="shared" si="64"/>
        <v>1.8824024501999999E-2</v>
      </c>
      <c r="J1252">
        <f t="shared" si="65"/>
        <v>3.0299899501999999E-2</v>
      </c>
      <c r="K1252">
        <f t="shared" si="66"/>
        <v>-2.1432975498000002E-2</v>
      </c>
    </row>
    <row r="1253" spans="1:11" x14ac:dyDescent="0.35">
      <c r="A1253" t="s">
        <v>188</v>
      </c>
      <c r="B1253">
        <v>10104</v>
      </c>
      <c r="C1253">
        <v>6.1342000000000001E-2</v>
      </c>
      <c r="D1253" s="5">
        <v>5.2954507000000002E-5</v>
      </c>
      <c r="E1253">
        <v>4.7995379999999998E-4</v>
      </c>
      <c r="F1253">
        <v>-6.607E-3</v>
      </c>
      <c r="G1253" t="s">
        <v>211</v>
      </c>
      <c r="I1253">
        <f t="shared" si="64"/>
        <v>6.1289045493000002E-2</v>
      </c>
      <c r="J1253">
        <f t="shared" si="65"/>
        <v>4.2699929299999998E-4</v>
      </c>
      <c r="K1253">
        <f t="shared" si="66"/>
        <v>-6.6599545070000002E-3</v>
      </c>
    </row>
    <row r="1254" spans="1:11" x14ac:dyDescent="0.35">
      <c r="A1254" t="s">
        <v>189</v>
      </c>
      <c r="B1254">
        <v>10104</v>
      </c>
      <c r="C1254">
        <v>-4.9069000000000002E-2</v>
      </c>
      <c r="D1254" s="5">
        <v>5.7961999000000002E-5</v>
      </c>
      <c r="E1254">
        <v>-7.2749645000000002E-2</v>
      </c>
      <c r="F1254">
        <v>2.1194999999999999E-2</v>
      </c>
      <c r="G1254" t="s">
        <v>211</v>
      </c>
      <c r="I1254">
        <f t="shared" si="64"/>
        <v>-4.9126961999000004E-2</v>
      </c>
      <c r="J1254">
        <f t="shared" si="65"/>
        <v>-7.2807606999000005E-2</v>
      </c>
      <c r="K1254">
        <f t="shared" si="66"/>
        <v>2.1137038000999999E-2</v>
      </c>
    </row>
    <row r="1255" spans="1:11" x14ac:dyDescent="0.35">
      <c r="A1255" t="s">
        <v>190</v>
      </c>
      <c r="B1255">
        <v>10104</v>
      </c>
      <c r="C1255">
        <v>-1.6379999999999999E-3</v>
      </c>
      <c r="D1255" s="5">
        <v>5.9763279E-5</v>
      </c>
      <c r="E1255">
        <v>4.4112142E-2</v>
      </c>
      <c r="F1255">
        <v>3.3869999999999998E-3</v>
      </c>
      <c r="G1255" t="s">
        <v>211</v>
      </c>
      <c r="I1255">
        <f t="shared" si="64"/>
        <v>-1.6977632789999999E-3</v>
      </c>
      <c r="J1255">
        <f t="shared" si="65"/>
        <v>4.4052378720999999E-2</v>
      </c>
      <c r="K1255">
        <f t="shared" si="66"/>
        <v>3.3272367209999996E-3</v>
      </c>
    </row>
    <row r="1256" spans="1:11" x14ac:dyDescent="0.35">
      <c r="A1256" t="s">
        <v>191</v>
      </c>
      <c r="B1256">
        <v>10104</v>
      </c>
      <c r="C1256">
        <v>-7.4036000000000005E-2</v>
      </c>
      <c r="D1256" s="5">
        <v>6.1300699999999994E-5</v>
      </c>
      <c r="E1256">
        <v>-7.4872575999999996E-2</v>
      </c>
      <c r="F1256">
        <v>4.9419999999999999E-2</v>
      </c>
      <c r="G1256" t="s">
        <v>211</v>
      </c>
      <c r="I1256">
        <f t="shared" si="64"/>
        <v>-7.4097300700000007E-2</v>
      </c>
      <c r="J1256">
        <f t="shared" si="65"/>
        <v>-7.4933876699999999E-2</v>
      </c>
      <c r="K1256">
        <f t="shared" si="66"/>
        <v>4.9358699299999996E-2</v>
      </c>
    </row>
    <row r="1257" spans="1:11" x14ac:dyDescent="0.35">
      <c r="A1257" t="s">
        <v>192</v>
      </c>
      <c r="B1257">
        <v>10104</v>
      </c>
      <c r="C1257">
        <v>0.11672200000000001</v>
      </c>
      <c r="D1257" s="5">
        <v>6.2691921000000006E-5</v>
      </c>
      <c r="E1257">
        <v>8.8008939999999994E-2</v>
      </c>
      <c r="F1257">
        <v>2.8865999999999999E-2</v>
      </c>
      <c r="G1257" t="s">
        <v>211</v>
      </c>
      <c r="I1257">
        <f t="shared" si="64"/>
        <v>0.116659308079</v>
      </c>
      <c r="J1257">
        <f t="shared" si="65"/>
        <v>8.7946248078999992E-2</v>
      </c>
      <c r="K1257">
        <f t="shared" si="66"/>
        <v>2.8803308079000001E-2</v>
      </c>
    </row>
    <row r="1258" spans="1:11" x14ac:dyDescent="0.35">
      <c r="A1258" t="s">
        <v>193</v>
      </c>
      <c r="B1258">
        <v>10104</v>
      </c>
      <c r="C1258">
        <v>3.7825999999999999E-2</v>
      </c>
      <c r="D1258" s="5">
        <v>6.5894084000000006E-5</v>
      </c>
      <c r="E1258">
        <v>3.2714512000000001E-2</v>
      </c>
      <c r="F1258">
        <v>-6.0920000000000002E-3</v>
      </c>
      <c r="G1258" t="s">
        <v>211</v>
      </c>
      <c r="I1258">
        <f t="shared" si="64"/>
        <v>3.7760105916E-2</v>
      </c>
      <c r="J1258">
        <f t="shared" si="65"/>
        <v>3.2648617916000003E-2</v>
      </c>
      <c r="K1258">
        <f t="shared" si="66"/>
        <v>-6.1578940840000002E-3</v>
      </c>
    </row>
    <row r="1259" spans="1:11" x14ac:dyDescent="0.35">
      <c r="A1259" t="s">
        <v>194</v>
      </c>
      <c r="B1259">
        <v>10104</v>
      </c>
      <c r="C1259">
        <v>3.0308999999999999E-2</v>
      </c>
      <c r="D1259" s="5">
        <v>6.4920080999999997E-5</v>
      </c>
      <c r="E1259">
        <v>1.3366196E-2</v>
      </c>
      <c r="F1259">
        <v>-1.5969000000000001E-2</v>
      </c>
      <c r="G1259" t="s">
        <v>211</v>
      </c>
      <c r="I1259">
        <f t="shared" si="64"/>
        <v>3.0244079918999998E-2</v>
      </c>
      <c r="J1259">
        <f t="shared" si="65"/>
        <v>1.3301275919000001E-2</v>
      </c>
      <c r="K1259">
        <f t="shared" si="66"/>
        <v>-1.6033920081000002E-2</v>
      </c>
    </row>
    <row r="1260" spans="1:11" x14ac:dyDescent="0.35">
      <c r="A1260" t="s">
        <v>195</v>
      </c>
      <c r="B1260">
        <v>10104</v>
      </c>
      <c r="C1260">
        <v>3.4630000000000001E-2</v>
      </c>
      <c r="D1260" s="5">
        <v>6.4361448000000001E-5</v>
      </c>
      <c r="E1260">
        <v>3.7867329999999998E-2</v>
      </c>
      <c r="F1260">
        <v>-6.6389999999999999E-3</v>
      </c>
      <c r="G1260" t="s">
        <v>211</v>
      </c>
      <c r="I1260">
        <f t="shared" si="64"/>
        <v>3.4565638552000004E-2</v>
      </c>
      <c r="J1260">
        <f t="shared" si="65"/>
        <v>3.7802968552000001E-2</v>
      </c>
      <c r="K1260">
        <f t="shared" si="66"/>
        <v>-6.7033614479999996E-3</v>
      </c>
    </row>
    <row r="1261" spans="1:11" x14ac:dyDescent="0.35">
      <c r="A1261" t="s">
        <v>196</v>
      </c>
      <c r="B1261">
        <v>10104</v>
      </c>
      <c r="C1261">
        <v>-8.5486999999999994E-2</v>
      </c>
      <c r="D1261" s="5">
        <v>6.5744126999999993E-5</v>
      </c>
      <c r="E1261">
        <v>-6.1593663E-2</v>
      </c>
      <c r="F1261">
        <v>1.7573999999999999E-2</v>
      </c>
      <c r="G1261" t="s">
        <v>211</v>
      </c>
      <c r="I1261">
        <f t="shared" si="64"/>
        <v>-8.5552744126999994E-2</v>
      </c>
      <c r="J1261">
        <f t="shared" si="65"/>
        <v>-6.1659407127E-2</v>
      </c>
      <c r="K1261">
        <f t="shared" si="66"/>
        <v>1.7508255872999999E-2</v>
      </c>
    </row>
    <row r="1262" spans="1:11" x14ac:dyDescent="0.35">
      <c r="A1262" t="s">
        <v>197</v>
      </c>
      <c r="B1262">
        <v>10104</v>
      </c>
      <c r="C1262">
        <v>0.125889</v>
      </c>
      <c r="D1262" s="5">
        <v>6.2413674000000004E-5</v>
      </c>
      <c r="E1262">
        <v>6.7385903999999996E-2</v>
      </c>
      <c r="F1262">
        <v>8.0029000000000003E-2</v>
      </c>
      <c r="G1262" t="s">
        <v>211</v>
      </c>
      <c r="I1262">
        <f t="shared" si="64"/>
        <v>0.125826586326</v>
      </c>
      <c r="J1262">
        <f t="shared" si="65"/>
        <v>6.7323490325999991E-2</v>
      </c>
      <c r="K1262">
        <f t="shared" si="66"/>
        <v>7.9966586325999997E-2</v>
      </c>
    </row>
    <row r="1263" spans="1:11" x14ac:dyDescent="0.35">
      <c r="A1263" t="s">
        <v>198</v>
      </c>
      <c r="B1263">
        <v>10104</v>
      </c>
      <c r="C1263">
        <v>-7.548E-3</v>
      </c>
      <c r="D1263" s="5">
        <v>5.4067222999999999E-5</v>
      </c>
      <c r="E1263">
        <v>1.3151872E-2</v>
      </c>
      <c r="F1263">
        <v>7.4999999999999993E-5</v>
      </c>
      <c r="G1263" t="s">
        <v>211</v>
      </c>
      <c r="I1263">
        <f t="shared" si="64"/>
        <v>-7.6020672230000001E-3</v>
      </c>
      <c r="J1263">
        <f t="shared" si="65"/>
        <v>1.3097804777E-2</v>
      </c>
      <c r="K1263">
        <f t="shared" si="66"/>
        <v>2.0932776999999994E-5</v>
      </c>
    </row>
    <row r="1264" spans="1:11" x14ac:dyDescent="0.35">
      <c r="A1264" t="s">
        <v>199</v>
      </c>
      <c r="B1264">
        <v>10104</v>
      </c>
      <c r="C1264">
        <v>-7.5311000000000003E-2</v>
      </c>
      <c r="D1264" s="5">
        <v>5.5450476999999997E-5</v>
      </c>
      <c r="E1264">
        <v>-2.0256182000000001E-2</v>
      </c>
      <c r="F1264">
        <v>7.9122999999999999E-2</v>
      </c>
      <c r="G1264" t="s">
        <v>211</v>
      </c>
      <c r="I1264">
        <f t="shared" si="64"/>
        <v>-7.5366450476999997E-2</v>
      </c>
      <c r="J1264">
        <f t="shared" si="65"/>
        <v>-2.0311632477000002E-2</v>
      </c>
      <c r="K1264">
        <f t="shared" si="66"/>
        <v>7.9067549523000005E-2</v>
      </c>
    </row>
    <row r="1265" spans="1:11" x14ac:dyDescent="0.35">
      <c r="A1265" t="s">
        <v>200</v>
      </c>
      <c r="B1265">
        <v>10104</v>
      </c>
      <c r="C1265">
        <v>5.7049999999999997E-2</v>
      </c>
      <c r="D1265" s="5">
        <v>5.3928131999999997E-5</v>
      </c>
      <c r="E1265">
        <v>1.5959764000000001E-2</v>
      </c>
      <c r="F1265">
        <v>-3.3947999999999999E-2</v>
      </c>
      <c r="G1265" t="s">
        <v>211</v>
      </c>
      <c r="I1265">
        <f t="shared" si="64"/>
        <v>5.6996071867999994E-2</v>
      </c>
      <c r="J1265">
        <f t="shared" si="65"/>
        <v>1.5905835868000002E-2</v>
      </c>
      <c r="K1265">
        <f t="shared" si="66"/>
        <v>-3.4001928132000002E-2</v>
      </c>
    </row>
    <row r="1266" spans="1:11" x14ac:dyDescent="0.35">
      <c r="A1266" t="s">
        <v>201</v>
      </c>
      <c r="B1266">
        <v>10104</v>
      </c>
      <c r="C1266">
        <v>-5.4520000000000002E-3</v>
      </c>
      <c r="D1266" s="5">
        <v>4.7833000000000001E-5</v>
      </c>
      <c r="E1266">
        <v>2.0895692E-2</v>
      </c>
      <c r="F1266">
        <v>2.5635000000000002E-2</v>
      </c>
      <c r="G1266" t="s">
        <v>211</v>
      </c>
      <c r="I1266">
        <f t="shared" si="64"/>
        <v>-5.499833E-3</v>
      </c>
      <c r="J1266">
        <f t="shared" si="65"/>
        <v>2.0847859E-2</v>
      </c>
      <c r="K1266">
        <f t="shared" si="66"/>
        <v>2.5587167000000001E-2</v>
      </c>
    </row>
    <row r="1267" spans="1:11" x14ac:dyDescent="0.35">
      <c r="A1267" t="s">
        <v>202</v>
      </c>
      <c r="B1267">
        <v>10104</v>
      </c>
      <c r="C1267">
        <v>3.0280999999999999E-2</v>
      </c>
      <c r="D1267" s="5">
        <v>4.0996583E-5</v>
      </c>
      <c r="E1267">
        <v>3.6646235999999999E-2</v>
      </c>
      <c r="F1267">
        <v>-3.2086000000000003E-2</v>
      </c>
      <c r="G1267" t="s">
        <v>211</v>
      </c>
      <c r="I1267">
        <f t="shared" si="64"/>
        <v>3.0240003416999998E-2</v>
      </c>
      <c r="J1267">
        <f t="shared" si="65"/>
        <v>3.6605239417000002E-2</v>
      </c>
      <c r="K1267">
        <f t="shared" si="66"/>
        <v>-3.2126996583E-2</v>
      </c>
    </row>
    <row r="1268" spans="1:11" x14ac:dyDescent="0.35">
      <c r="A1268" t="s">
        <v>203</v>
      </c>
      <c r="B1268">
        <v>10104</v>
      </c>
      <c r="C1268">
        <v>-5.6287999999999998E-2</v>
      </c>
      <c r="D1268" s="5">
        <v>4.2802500999999998E-5</v>
      </c>
      <c r="E1268">
        <v>2.8492387000000001E-2</v>
      </c>
      <c r="F1268">
        <v>3.6559000000000001E-2</v>
      </c>
      <c r="G1268" t="s">
        <v>211</v>
      </c>
      <c r="I1268">
        <f t="shared" si="64"/>
        <v>-5.6330802500999998E-2</v>
      </c>
      <c r="J1268">
        <f t="shared" si="65"/>
        <v>2.8449584499000001E-2</v>
      </c>
      <c r="K1268">
        <f t="shared" si="66"/>
        <v>3.6516197499000001E-2</v>
      </c>
    </row>
    <row r="1270" spans="1:11" x14ac:dyDescent="0.35">
      <c r="A1270" t="s">
        <v>23</v>
      </c>
      <c r="B1270">
        <v>59328</v>
      </c>
      <c r="C1270">
        <v>-4.0188000000000001E-2</v>
      </c>
      <c r="D1270" s="5">
        <v>4.7948841000000003E-5</v>
      </c>
      <c r="E1270">
        <v>-2.6517817999999999E-2</v>
      </c>
      <c r="F1270">
        <v>-3.6073000000000001E-2</v>
      </c>
      <c r="G1270" t="s">
        <v>212</v>
      </c>
      <c r="I1270">
        <f t="shared" si="64"/>
        <v>-4.0235948840999999E-2</v>
      </c>
      <c r="J1270">
        <f t="shared" si="65"/>
        <v>-2.6565766841E-2</v>
      </c>
      <c r="K1270">
        <f t="shared" si="66"/>
        <v>-3.6120948840999999E-2</v>
      </c>
    </row>
    <row r="1271" spans="1:11" x14ac:dyDescent="0.35">
      <c r="A1271" t="s">
        <v>25</v>
      </c>
      <c r="B1271">
        <v>59328</v>
      </c>
      <c r="C1271">
        <v>7.2160000000000002E-2</v>
      </c>
      <c r="D1271" s="5">
        <v>5.5244941999999998E-5</v>
      </c>
      <c r="E1271">
        <v>2.2697801E-2</v>
      </c>
      <c r="F1271">
        <v>3.0790999999999999E-2</v>
      </c>
      <c r="G1271" t="s">
        <v>212</v>
      </c>
      <c r="I1271">
        <f t="shared" si="64"/>
        <v>7.2104755058E-2</v>
      </c>
      <c r="J1271">
        <f t="shared" si="65"/>
        <v>2.2642556058000002E-2</v>
      </c>
      <c r="K1271">
        <f t="shared" si="66"/>
        <v>3.0735755058000001E-2</v>
      </c>
    </row>
    <row r="1272" spans="1:11" x14ac:dyDescent="0.35">
      <c r="A1272" t="s">
        <v>26</v>
      </c>
      <c r="B1272">
        <v>59328</v>
      </c>
      <c r="C1272">
        <v>-3.168E-2</v>
      </c>
      <c r="D1272" s="5">
        <v>6.8319866999999999E-5</v>
      </c>
      <c r="E1272">
        <v>-1.6850591000000002E-2</v>
      </c>
      <c r="F1272">
        <v>-1.6084999999999999E-2</v>
      </c>
      <c r="G1272" t="s">
        <v>212</v>
      </c>
      <c r="I1272">
        <f t="shared" si="64"/>
        <v>-3.1748319866999997E-2</v>
      </c>
      <c r="J1272">
        <f t="shared" si="65"/>
        <v>-1.6918910867000002E-2</v>
      </c>
      <c r="K1272">
        <f t="shared" si="66"/>
        <v>-1.6153319866999999E-2</v>
      </c>
    </row>
    <row r="1273" spans="1:11" x14ac:dyDescent="0.35">
      <c r="A1273" t="s">
        <v>27</v>
      </c>
      <c r="B1273">
        <v>59328</v>
      </c>
      <c r="C1273">
        <v>1.2484E-2</v>
      </c>
      <c r="D1273" s="5">
        <v>7.1599496999999996E-5</v>
      </c>
      <c r="E1273">
        <v>-2.5221592000000001E-2</v>
      </c>
      <c r="F1273">
        <v>1.2377000000000001E-2</v>
      </c>
      <c r="G1273" t="s">
        <v>212</v>
      </c>
      <c r="I1273">
        <f t="shared" si="64"/>
        <v>1.2412400503E-2</v>
      </c>
      <c r="J1273">
        <f t="shared" si="65"/>
        <v>-2.5293191497E-2</v>
      </c>
      <c r="K1273">
        <f t="shared" si="66"/>
        <v>1.2305400503E-2</v>
      </c>
    </row>
    <row r="1274" spans="1:11" x14ac:dyDescent="0.35">
      <c r="A1274" t="s">
        <v>28</v>
      </c>
      <c r="B1274">
        <v>59328</v>
      </c>
      <c r="C1274">
        <v>0.14965999999999999</v>
      </c>
      <c r="D1274" s="5">
        <v>7.3475609999999999E-5</v>
      </c>
      <c r="E1274">
        <v>3.7993193000000001E-2</v>
      </c>
      <c r="F1274">
        <v>-3.9216000000000001E-2</v>
      </c>
      <c r="G1274" t="s">
        <v>212</v>
      </c>
      <c r="I1274">
        <f t="shared" si="64"/>
        <v>0.14958652438999998</v>
      </c>
      <c r="J1274">
        <f t="shared" si="65"/>
        <v>3.7919717390000003E-2</v>
      </c>
      <c r="K1274">
        <f t="shared" si="66"/>
        <v>-3.9289475609999999E-2</v>
      </c>
    </row>
    <row r="1275" spans="1:11" x14ac:dyDescent="0.35">
      <c r="A1275" t="s">
        <v>29</v>
      </c>
      <c r="B1275">
        <v>59328</v>
      </c>
      <c r="C1275">
        <v>-3.4866000000000001E-2</v>
      </c>
      <c r="D1275" s="5">
        <v>7.5899545000000004E-5</v>
      </c>
      <c r="E1275">
        <v>1.1474352E-2</v>
      </c>
      <c r="F1275">
        <v>4.2977000000000001E-2</v>
      </c>
      <c r="G1275" t="s">
        <v>212</v>
      </c>
      <c r="I1275">
        <f t="shared" ref="I1275:I1338" si="67">C1275-D1275</f>
        <v>-3.4941899545000002E-2</v>
      </c>
      <c r="J1275">
        <f t="shared" ref="J1275:J1338" si="68">E1275-D1275</f>
        <v>1.1398452454999999E-2</v>
      </c>
      <c r="K1275">
        <f t="shared" ref="K1275:K1338" si="69">F1275-D1275</f>
        <v>4.2901100455000001E-2</v>
      </c>
    </row>
    <row r="1276" spans="1:11" x14ac:dyDescent="0.35">
      <c r="A1276" t="s">
        <v>30</v>
      </c>
      <c r="B1276">
        <v>59328</v>
      </c>
      <c r="C1276">
        <v>4.3043999999999999E-2</v>
      </c>
      <c r="D1276" s="5">
        <v>8.1133752000000001E-5</v>
      </c>
      <c r="E1276">
        <v>4.3326780000000002E-2</v>
      </c>
      <c r="F1276">
        <v>-1.4272999999999999E-2</v>
      </c>
      <c r="G1276" t="s">
        <v>212</v>
      </c>
      <c r="I1276">
        <f t="shared" si="67"/>
        <v>4.2962866247999998E-2</v>
      </c>
      <c r="J1276">
        <f t="shared" si="68"/>
        <v>4.3245646248000001E-2</v>
      </c>
      <c r="K1276">
        <f t="shared" si="69"/>
        <v>-1.4354133751999999E-2</v>
      </c>
    </row>
    <row r="1277" spans="1:11" x14ac:dyDescent="0.35">
      <c r="A1277" t="s">
        <v>31</v>
      </c>
      <c r="B1277">
        <v>59328</v>
      </c>
      <c r="C1277">
        <v>-4.9374000000000001E-2</v>
      </c>
      <c r="D1277" s="5">
        <v>8.8369225999999999E-5</v>
      </c>
      <c r="E1277">
        <v>-6.0141183999999999E-3</v>
      </c>
      <c r="F1277">
        <v>1.3545E-2</v>
      </c>
      <c r="G1277" t="s">
        <v>212</v>
      </c>
      <c r="I1277">
        <f t="shared" si="67"/>
        <v>-4.9462369226000003E-2</v>
      </c>
      <c r="J1277">
        <f t="shared" si="68"/>
        <v>-6.1024876260000003E-3</v>
      </c>
      <c r="K1277">
        <f t="shared" si="69"/>
        <v>1.3456630774E-2</v>
      </c>
    </row>
    <row r="1278" spans="1:11" x14ac:dyDescent="0.35">
      <c r="A1278" t="s">
        <v>32</v>
      </c>
      <c r="B1278">
        <v>59328</v>
      </c>
      <c r="C1278">
        <v>-4.1602E-2</v>
      </c>
      <c r="D1278" s="5">
        <v>9.2246314999999999E-5</v>
      </c>
      <c r="E1278">
        <v>1.0593396999999999E-2</v>
      </c>
      <c r="F1278">
        <v>7.6036999999999993E-2</v>
      </c>
      <c r="G1278" t="s">
        <v>212</v>
      </c>
      <c r="I1278">
        <f t="shared" si="67"/>
        <v>-4.1694246315000003E-2</v>
      </c>
      <c r="J1278">
        <f t="shared" si="68"/>
        <v>1.0501150684999998E-2</v>
      </c>
      <c r="K1278">
        <f t="shared" si="69"/>
        <v>7.5944753684999991E-2</v>
      </c>
    </row>
    <row r="1279" spans="1:11" x14ac:dyDescent="0.35">
      <c r="A1279" t="s">
        <v>33</v>
      </c>
      <c r="B1279">
        <v>59328</v>
      </c>
      <c r="C1279">
        <v>-4.6653E-2</v>
      </c>
      <c r="D1279" s="5">
        <v>8.5793734000000005E-5</v>
      </c>
      <c r="E1279">
        <v>-1.3740894999999999E-2</v>
      </c>
      <c r="F1279">
        <v>-6.424E-3</v>
      </c>
      <c r="G1279" t="s">
        <v>212</v>
      </c>
      <c r="I1279">
        <f t="shared" si="67"/>
        <v>-4.6738793734E-2</v>
      </c>
      <c r="J1279">
        <f t="shared" si="68"/>
        <v>-1.3826688734E-2</v>
      </c>
      <c r="K1279">
        <f t="shared" si="69"/>
        <v>-6.5097937340000004E-3</v>
      </c>
    </row>
    <row r="1280" spans="1:11" x14ac:dyDescent="0.35">
      <c r="A1280" t="s">
        <v>34</v>
      </c>
      <c r="B1280">
        <v>59328</v>
      </c>
      <c r="C1280">
        <v>0.13872300000000001</v>
      </c>
      <c r="D1280" s="5">
        <v>1.0221382E-4</v>
      </c>
      <c r="E1280">
        <v>3.4165464E-2</v>
      </c>
      <c r="F1280">
        <v>5.8189999999999999E-2</v>
      </c>
      <c r="G1280" t="s">
        <v>212</v>
      </c>
      <c r="I1280">
        <f t="shared" si="67"/>
        <v>0.13862078618000001</v>
      </c>
      <c r="J1280">
        <f t="shared" si="68"/>
        <v>3.4063250179999997E-2</v>
      </c>
      <c r="K1280">
        <f t="shared" si="69"/>
        <v>5.8087786179999996E-2</v>
      </c>
    </row>
    <row r="1281" spans="1:11" x14ac:dyDescent="0.35">
      <c r="A1281" t="s">
        <v>35</v>
      </c>
      <c r="B1281">
        <v>59328</v>
      </c>
      <c r="C1281">
        <v>-6.4467999999999998E-2</v>
      </c>
      <c r="D1281" s="5">
        <v>1.0811459E-4</v>
      </c>
      <c r="E1281">
        <v>3.4972754999999999E-3</v>
      </c>
      <c r="F1281">
        <v>5.0508999999999998E-2</v>
      </c>
      <c r="G1281" t="s">
        <v>212</v>
      </c>
      <c r="I1281">
        <f t="shared" si="67"/>
        <v>-6.4576114589999997E-2</v>
      </c>
      <c r="J1281">
        <f t="shared" si="68"/>
        <v>3.3891609099999998E-3</v>
      </c>
      <c r="K1281">
        <f t="shared" si="69"/>
        <v>5.0400885409999999E-2</v>
      </c>
    </row>
    <row r="1282" spans="1:11" x14ac:dyDescent="0.35">
      <c r="A1282" t="s">
        <v>36</v>
      </c>
      <c r="B1282">
        <v>59328</v>
      </c>
      <c r="C1282">
        <v>-0.14843799999999999</v>
      </c>
      <c r="D1282" s="5">
        <v>1.0946717E-4</v>
      </c>
      <c r="E1282">
        <v>4.0057152999999998E-2</v>
      </c>
      <c r="F1282">
        <v>9.9263000000000004E-2</v>
      </c>
      <c r="G1282" t="s">
        <v>212</v>
      </c>
      <c r="I1282">
        <f t="shared" si="67"/>
        <v>-0.14854746716999997</v>
      </c>
      <c r="J1282">
        <f t="shared" si="68"/>
        <v>3.9947685829999996E-2</v>
      </c>
      <c r="K1282">
        <f t="shared" si="69"/>
        <v>9.9153532830000002E-2</v>
      </c>
    </row>
    <row r="1283" spans="1:11" x14ac:dyDescent="0.35">
      <c r="A1283" t="s">
        <v>37</v>
      </c>
      <c r="B1283">
        <v>59328</v>
      </c>
      <c r="C1283">
        <v>-2.6110999999999999E-2</v>
      </c>
      <c r="D1283" s="5">
        <v>1.1473459E-4</v>
      </c>
      <c r="E1283">
        <v>-1.6283552E-3</v>
      </c>
      <c r="F1283">
        <v>-1.1110999999999999E-2</v>
      </c>
      <c r="G1283" t="s">
        <v>212</v>
      </c>
      <c r="I1283">
        <f t="shared" si="67"/>
        <v>-2.6225734589999997E-2</v>
      </c>
      <c r="J1283">
        <f t="shared" si="68"/>
        <v>-1.7430897900000001E-3</v>
      </c>
      <c r="K1283">
        <f t="shared" si="69"/>
        <v>-1.122573459E-2</v>
      </c>
    </row>
    <row r="1284" spans="1:11" x14ac:dyDescent="0.35">
      <c r="A1284" t="s">
        <v>38</v>
      </c>
      <c r="B1284">
        <v>59328</v>
      </c>
      <c r="C1284">
        <v>-5.534E-2</v>
      </c>
      <c r="D1284" s="5">
        <v>1.2225505E-4</v>
      </c>
      <c r="E1284">
        <v>1.8970178000000001E-2</v>
      </c>
      <c r="F1284">
        <v>3.6205000000000001E-2</v>
      </c>
      <c r="G1284" t="s">
        <v>212</v>
      </c>
      <c r="I1284">
        <f t="shared" si="67"/>
        <v>-5.5462255049999999E-2</v>
      </c>
      <c r="J1284">
        <f t="shared" si="68"/>
        <v>1.8847922950000002E-2</v>
      </c>
      <c r="K1284">
        <f t="shared" si="69"/>
        <v>3.6082744950000002E-2</v>
      </c>
    </row>
    <row r="1285" spans="1:11" x14ac:dyDescent="0.35">
      <c r="A1285" t="s">
        <v>39</v>
      </c>
      <c r="B1285">
        <v>59328</v>
      </c>
      <c r="C1285">
        <v>2.6721999999999999E-2</v>
      </c>
      <c r="D1285" s="5">
        <v>1.2702313E-4</v>
      </c>
      <c r="E1285">
        <v>1.3077589000000001E-2</v>
      </c>
      <c r="F1285">
        <v>0.12031</v>
      </c>
      <c r="G1285" t="s">
        <v>212</v>
      </c>
      <c r="I1285">
        <f t="shared" si="67"/>
        <v>2.6594976869999998E-2</v>
      </c>
      <c r="J1285">
        <f t="shared" si="68"/>
        <v>1.295056587E-2</v>
      </c>
      <c r="K1285">
        <f t="shared" si="69"/>
        <v>0.12018297687</v>
      </c>
    </row>
    <row r="1286" spans="1:11" x14ac:dyDescent="0.35">
      <c r="A1286" t="s">
        <v>40</v>
      </c>
      <c r="B1286">
        <v>59328</v>
      </c>
      <c r="C1286">
        <v>-9.3092999999999995E-2</v>
      </c>
      <c r="D1286" s="5">
        <v>1.2549012999999999E-4</v>
      </c>
      <c r="E1286">
        <v>-3.10251E-2</v>
      </c>
      <c r="F1286">
        <v>-1.3212E-2</v>
      </c>
      <c r="G1286" t="s">
        <v>212</v>
      </c>
      <c r="I1286">
        <f t="shared" si="67"/>
        <v>-9.3218490129999998E-2</v>
      </c>
      <c r="J1286">
        <f t="shared" si="68"/>
        <v>-3.1150590129999999E-2</v>
      </c>
      <c r="K1286">
        <f t="shared" si="69"/>
        <v>-1.3337490129999999E-2</v>
      </c>
    </row>
    <row r="1287" spans="1:11" x14ac:dyDescent="0.35">
      <c r="A1287" t="s">
        <v>41</v>
      </c>
      <c r="B1287">
        <v>59328</v>
      </c>
      <c r="C1287">
        <v>5.4384000000000002E-2</v>
      </c>
      <c r="D1287" s="5">
        <v>1.2976839000000001E-4</v>
      </c>
      <c r="E1287">
        <v>-3.1822989999999999E-4</v>
      </c>
      <c r="F1287">
        <v>-4.6706999999999999E-2</v>
      </c>
      <c r="G1287" t="s">
        <v>212</v>
      </c>
      <c r="I1287">
        <f t="shared" si="67"/>
        <v>5.4254231610000002E-2</v>
      </c>
      <c r="J1287">
        <f t="shared" si="68"/>
        <v>-4.4799829E-4</v>
      </c>
      <c r="K1287">
        <f t="shared" si="69"/>
        <v>-4.6836768389999998E-2</v>
      </c>
    </row>
    <row r="1288" spans="1:11" x14ac:dyDescent="0.35">
      <c r="A1288" t="s">
        <v>42</v>
      </c>
      <c r="B1288">
        <v>59328</v>
      </c>
      <c r="C1288">
        <v>-5.2631999999999998E-2</v>
      </c>
      <c r="D1288" s="5">
        <v>1.2228312999999999E-4</v>
      </c>
      <c r="E1288">
        <v>-9.6833464000000008E-3</v>
      </c>
      <c r="F1288">
        <v>3.1521E-2</v>
      </c>
      <c r="G1288" t="s">
        <v>212</v>
      </c>
      <c r="I1288">
        <f t="shared" si="67"/>
        <v>-5.2754283129999996E-2</v>
      </c>
      <c r="J1288">
        <f t="shared" si="68"/>
        <v>-9.8056295300000002E-3</v>
      </c>
      <c r="K1288">
        <f t="shared" si="69"/>
        <v>3.1398716870000003E-2</v>
      </c>
    </row>
    <row r="1289" spans="1:11" x14ac:dyDescent="0.35">
      <c r="A1289" t="s">
        <v>43</v>
      </c>
      <c r="B1289">
        <v>59328</v>
      </c>
      <c r="C1289">
        <v>9.2777999999999999E-2</v>
      </c>
      <c r="D1289" s="5">
        <v>1.3703064E-4</v>
      </c>
      <c r="E1289">
        <v>2.5151808000000001E-2</v>
      </c>
      <c r="F1289">
        <v>-1.3775000000000001E-2</v>
      </c>
      <c r="G1289" t="s">
        <v>212</v>
      </c>
      <c r="I1289">
        <f t="shared" si="67"/>
        <v>9.2640969360000006E-2</v>
      </c>
      <c r="J1289">
        <f t="shared" si="68"/>
        <v>2.501477736E-2</v>
      </c>
      <c r="K1289">
        <f t="shared" si="69"/>
        <v>-1.3912030640000001E-2</v>
      </c>
    </row>
    <row r="1290" spans="1:11" x14ac:dyDescent="0.35">
      <c r="A1290" t="s">
        <v>44</v>
      </c>
      <c r="B1290">
        <v>59328</v>
      </c>
      <c r="C1290">
        <v>5.1098999999999999E-2</v>
      </c>
      <c r="D1290" s="5">
        <v>1.3985681000000001E-4</v>
      </c>
      <c r="E1290">
        <v>1.9410975E-2</v>
      </c>
      <c r="F1290">
        <v>-4.5272E-2</v>
      </c>
      <c r="G1290" t="s">
        <v>212</v>
      </c>
      <c r="I1290">
        <f t="shared" si="67"/>
        <v>5.095914319E-2</v>
      </c>
      <c r="J1290">
        <f t="shared" si="68"/>
        <v>1.9271118190000002E-2</v>
      </c>
      <c r="K1290">
        <f t="shared" si="69"/>
        <v>-4.5411856809999998E-2</v>
      </c>
    </row>
    <row r="1291" spans="1:11" x14ac:dyDescent="0.35">
      <c r="A1291" t="s">
        <v>45</v>
      </c>
      <c r="B1291">
        <v>59328</v>
      </c>
      <c r="C1291">
        <v>3.7433000000000001E-2</v>
      </c>
      <c r="D1291" s="5">
        <v>1.2507204999999999E-4</v>
      </c>
      <c r="E1291">
        <v>3.4900713999999999E-2</v>
      </c>
      <c r="F1291">
        <v>1.2947999999999999E-2</v>
      </c>
      <c r="G1291" t="s">
        <v>212</v>
      </c>
      <c r="I1291">
        <f t="shared" si="67"/>
        <v>3.730792795E-2</v>
      </c>
      <c r="J1291">
        <f t="shared" si="68"/>
        <v>3.4775641949999998E-2</v>
      </c>
      <c r="K1291">
        <f t="shared" si="69"/>
        <v>1.282292795E-2</v>
      </c>
    </row>
    <row r="1292" spans="1:11" x14ac:dyDescent="0.35">
      <c r="A1292" t="s">
        <v>46</v>
      </c>
      <c r="B1292">
        <v>59328</v>
      </c>
      <c r="C1292">
        <v>7.2630000000000004E-3</v>
      </c>
      <c r="D1292" s="5">
        <v>1.4148996E-4</v>
      </c>
      <c r="E1292">
        <v>2.5525862E-2</v>
      </c>
      <c r="F1292">
        <v>6.8890999999999994E-2</v>
      </c>
      <c r="G1292" t="s">
        <v>212</v>
      </c>
      <c r="I1292">
        <f t="shared" si="67"/>
        <v>7.12151004E-3</v>
      </c>
      <c r="J1292">
        <f t="shared" si="68"/>
        <v>2.5384372039999999E-2</v>
      </c>
      <c r="K1292">
        <f t="shared" si="69"/>
        <v>6.8749510039999989E-2</v>
      </c>
    </row>
    <row r="1293" spans="1:11" x14ac:dyDescent="0.35">
      <c r="A1293" t="s">
        <v>47</v>
      </c>
      <c r="B1293">
        <v>59328</v>
      </c>
      <c r="C1293">
        <v>-5.3517000000000002E-2</v>
      </c>
      <c r="D1293" s="5">
        <v>1.4320338999999999E-4</v>
      </c>
      <c r="E1293">
        <v>1.0861081E-2</v>
      </c>
      <c r="F1293">
        <v>-1.8325999999999999E-2</v>
      </c>
      <c r="G1293" t="s">
        <v>212</v>
      </c>
      <c r="I1293">
        <f t="shared" si="67"/>
        <v>-5.3660203390000001E-2</v>
      </c>
      <c r="J1293">
        <f t="shared" si="68"/>
        <v>1.0717877609999999E-2</v>
      </c>
      <c r="K1293">
        <f t="shared" si="69"/>
        <v>-1.8469203389999998E-2</v>
      </c>
    </row>
    <row r="1294" spans="1:11" x14ac:dyDescent="0.35">
      <c r="A1294" t="s">
        <v>48</v>
      </c>
      <c r="B1294">
        <v>59328</v>
      </c>
      <c r="C1294">
        <v>3.5062000000000003E-2</v>
      </c>
      <c r="D1294" s="5">
        <v>1.2932273999999999E-4</v>
      </c>
      <c r="E1294">
        <v>1.9592070999999999E-2</v>
      </c>
      <c r="F1294">
        <v>2.5628999999999999E-2</v>
      </c>
      <c r="G1294" t="s">
        <v>212</v>
      </c>
      <c r="I1294">
        <f t="shared" si="67"/>
        <v>3.4932677260000003E-2</v>
      </c>
      <c r="J1294">
        <f t="shared" si="68"/>
        <v>1.9462748259999999E-2</v>
      </c>
      <c r="K1294">
        <f t="shared" si="69"/>
        <v>2.5499677259999999E-2</v>
      </c>
    </row>
    <row r="1295" spans="1:11" x14ac:dyDescent="0.35">
      <c r="A1295" t="s">
        <v>49</v>
      </c>
      <c r="B1295">
        <v>59328</v>
      </c>
      <c r="C1295">
        <v>-4.7113000000000002E-2</v>
      </c>
      <c r="D1295" s="5">
        <v>1.3506156E-4</v>
      </c>
      <c r="E1295">
        <v>-1.4020795000000001E-2</v>
      </c>
      <c r="F1295">
        <v>2.5451000000000001E-2</v>
      </c>
      <c r="G1295" t="s">
        <v>212</v>
      </c>
      <c r="I1295">
        <f t="shared" si="67"/>
        <v>-4.7248061559999999E-2</v>
      </c>
      <c r="J1295">
        <f t="shared" si="68"/>
        <v>-1.4155856560000001E-2</v>
      </c>
      <c r="K1295">
        <f t="shared" si="69"/>
        <v>2.5315938440000001E-2</v>
      </c>
    </row>
    <row r="1296" spans="1:11" x14ac:dyDescent="0.35">
      <c r="A1296" t="s">
        <v>50</v>
      </c>
      <c r="B1296">
        <v>59328</v>
      </c>
      <c r="C1296">
        <v>-3.6756999999999998E-2</v>
      </c>
      <c r="D1296" s="5">
        <v>1.4202721999999999E-4</v>
      </c>
      <c r="E1296">
        <v>1.2952416E-2</v>
      </c>
      <c r="F1296">
        <v>-1.1131E-2</v>
      </c>
      <c r="G1296" t="s">
        <v>212</v>
      </c>
      <c r="I1296">
        <f t="shared" si="67"/>
        <v>-3.6899027219999998E-2</v>
      </c>
      <c r="J1296">
        <f t="shared" si="68"/>
        <v>1.2810388779999999E-2</v>
      </c>
      <c r="K1296">
        <f t="shared" si="69"/>
        <v>-1.1273027220000001E-2</v>
      </c>
    </row>
    <row r="1297" spans="1:11" x14ac:dyDescent="0.35">
      <c r="A1297" t="s">
        <v>51</v>
      </c>
      <c r="B1297">
        <v>59328</v>
      </c>
      <c r="C1297">
        <v>0.123889</v>
      </c>
      <c r="D1297" s="5">
        <v>1.3845289999999999E-4</v>
      </c>
      <c r="E1297">
        <v>3.9758044999999999E-2</v>
      </c>
      <c r="F1297">
        <v>2.0535000000000001E-2</v>
      </c>
      <c r="G1297" t="s">
        <v>212</v>
      </c>
      <c r="I1297">
        <f t="shared" si="67"/>
        <v>0.1237505471</v>
      </c>
      <c r="J1297">
        <f t="shared" si="68"/>
        <v>3.9619592099999996E-2</v>
      </c>
      <c r="K1297">
        <f t="shared" si="69"/>
        <v>2.0396547100000002E-2</v>
      </c>
    </row>
    <row r="1298" spans="1:11" x14ac:dyDescent="0.35">
      <c r="A1298" t="s">
        <v>52</v>
      </c>
      <c r="B1298">
        <v>59328</v>
      </c>
      <c r="C1298">
        <v>3.6856E-2</v>
      </c>
      <c r="D1298" s="5">
        <v>1.3034255E-4</v>
      </c>
      <c r="E1298">
        <v>3.8909490999999997E-2</v>
      </c>
      <c r="F1298">
        <v>-2.3102999999999999E-2</v>
      </c>
      <c r="G1298" t="s">
        <v>212</v>
      </c>
      <c r="I1298">
        <f t="shared" si="67"/>
        <v>3.6725657449999997E-2</v>
      </c>
      <c r="J1298">
        <f t="shared" si="68"/>
        <v>3.8779148449999995E-2</v>
      </c>
      <c r="K1298">
        <f t="shared" si="69"/>
        <v>-2.3233342549999998E-2</v>
      </c>
    </row>
    <row r="1299" spans="1:11" x14ac:dyDescent="0.35">
      <c r="A1299" t="s">
        <v>53</v>
      </c>
      <c r="B1299">
        <v>59328</v>
      </c>
      <c r="C1299">
        <v>7.0333999999999994E-2</v>
      </c>
      <c r="D1299" s="5">
        <v>1.3037657E-4</v>
      </c>
      <c r="E1299">
        <v>-1.4821285E-2</v>
      </c>
      <c r="F1299">
        <v>-1.9377999999999999E-2</v>
      </c>
      <c r="G1299" t="s">
        <v>212</v>
      </c>
      <c r="I1299">
        <f t="shared" si="67"/>
        <v>7.0203623430000001E-2</v>
      </c>
      <c r="J1299">
        <f t="shared" si="68"/>
        <v>-1.495166157E-2</v>
      </c>
      <c r="K1299">
        <f t="shared" si="69"/>
        <v>-1.9508376569999999E-2</v>
      </c>
    </row>
    <row r="1300" spans="1:11" x14ac:dyDescent="0.35">
      <c r="A1300" t="s">
        <v>54</v>
      </c>
      <c r="B1300">
        <v>59328</v>
      </c>
      <c r="C1300">
        <v>-5.0509999999999999E-3</v>
      </c>
      <c r="D1300" s="5">
        <v>1.1670869E-4</v>
      </c>
      <c r="E1300">
        <v>-3.1721417000000002E-2</v>
      </c>
      <c r="F1300">
        <v>2.3650000000000001E-2</v>
      </c>
      <c r="G1300" t="s">
        <v>212</v>
      </c>
      <c r="I1300">
        <f t="shared" si="67"/>
        <v>-5.1677086899999999E-3</v>
      </c>
      <c r="J1300">
        <f t="shared" si="68"/>
        <v>-3.1838125690000003E-2</v>
      </c>
      <c r="K1300">
        <f t="shared" si="69"/>
        <v>2.3533291309999999E-2</v>
      </c>
    </row>
    <row r="1301" spans="1:11" x14ac:dyDescent="0.35">
      <c r="A1301" t="s">
        <v>55</v>
      </c>
      <c r="B1301">
        <v>59328</v>
      </c>
      <c r="C1301">
        <v>9.4940999999999998E-2</v>
      </c>
      <c r="D1301" s="5">
        <v>1.3702123999999999E-4</v>
      </c>
      <c r="E1301">
        <v>1.169362E-2</v>
      </c>
      <c r="F1301">
        <v>1.1096E-2</v>
      </c>
      <c r="G1301" t="s">
        <v>212</v>
      </c>
      <c r="I1301">
        <f t="shared" si="67"/>
        <v>9.4803978760000004E-2</v>
      </c>
      <c r="J1301">
        <f t="shared" si="68"/>
        <v>1.155659876E-2</v>
      </c>
      <c r="K1301">
        <f t="shared" si="69"/>
        <v>1.095897876E-2</v>
      </c>
    </row>
    <row r="1302" spans="1:11" x14ac:dyDescent="0.35">
      <c r="A1302" t="s">
        <v>56</v>
      </c>
      <c r="B1302">
        <v>59328</v>
      </c>
      <c r="C1302">
        <v>4.2719999999999998E-3</v>
      </c>
      <c r="D1302" s="5">
        <v>1.1455195999999999E-4</v>
      </c>
      <c r="E1302">
        <v>4.0834490000000001E-2</v>
      </c>
      <c r="F1302">
        <v>0.10508099999999999</v>
      </c>
      <c r="G1302" t="s">
        <v>212</v>
      </c>
      <c r="I1302">
        <f t="shared" si="67"/>
        <v>4.1574480400000001E-3</v>
      </c>
      <c r="J1302">
        <f t="shared" si="68"/>
        <v>4.0719938040000001E-2</v>
      </c>
      <c r="K1302">
        <f t="shared" si="69"/>
        <v>0.10496644803999999</v>
      </c>
    </row>
    <row r="1303" spans="1:11" x14ac:dyDescent="0.35">
      <c r="A1303" t="s">
        <v>57</v>
      </c>
      <c r="B1303">
        <v>59328</v>
      </c>
      <c r="C1303">
        <v>4.0217000000000003E-2</v>
      </c>
      <c r="D1303" s="5">
        <v>9.2476468E-5</v>
      </c>
      <c r="E1303">
        <v>2.8808464999999998E-2</v>
      </c>
      <c r="F1303">
        <v>6.9514000000000006E-2</v>
      </c>
      <c r="G1303" t="s">
        <v>212</v>
      </c>
      <c r="I1303">
        <f t="shared" si="67"/>
        <v>4.0124523532000002E-2</v>
      </c>
      <c r="J1303">
        <f t="shared" si="68"/>
        <v>2.8715988531999997E-2</v>
      </c>
      <c r="K1303">
        <f t="shared" si="69"/>
        <v>6.9421523532000012E-2</v>
      </c>
    </row>
    <row r="1304" spans="1:11" x14ac:dyDescent="0.35">
      <c r="A1304" t="s">
        <v>58</v>
      </c>
      <c r="B1304">
        <v>59328</v>
      </c>
      <c r="C1304">
        <v>-2.6301000000000001E-2</v>
      </c>
      <c r="D1304" s="5">
        <v>1.066585E-4</v>
      </c>
      <c r="E1304">
        <v>-3.5230382999999997E-2</v>
      </c>
      <c r="F1304">
        <v>-1.6535000000000001E-2</v>
      </c>
      <c r="G1304" t="s">
        <v>212</v>
      </c>
      <c r="I1304">
        <f t="shared" si="67"/>
        <v>-2.64076585E-2</v>
      </c>
      <c r="J1304">
        <f t="shared" si="68"/>
        <v>-3.5337041499999999E-2</v>
      </c>
      <c r="K1304">
        <f t="shared" si="69"/>
        <v>-1.66416585E-2</v>
      </c>
    </row>
    <row r="1305" spans="1:11" x14ac:dyDescent="0.35">
      <c r="A1305" t="s">
        <v>59</v>
      </c>
      <c r="B1305">
        <v>59328</v>
      </c>
      <c r="C1305">
        <v>2.2238999999999998E-2</v>
      </c>
      <c r="D1305" s="5">
        <v>1.0027451E-4</v>
      </c>
      <c r="E1305">
        <v>-4.3625202999999996E-3</v>
      </c>
      <c r="F1305">
        <v>6.6476999999999994E-2</v>
      </c>
      <c r="G1305" t="s">
        <v>212</v>
      </c>
      <c r="I1305">
        <f t="shared" si="67"/>
        <v>2.2138725489999997E-2</v>
      </c>
      <c r="J1305">
        <f t="shared" si="68"/>
        <v>-4.4627948099999993E-3</v>
      </c>
      <c r="K1305">
        <f t="shared" si="69"/>
        <v>6.6376725489999996E-2</v>
      </c>
    </row>
    <row r="1306" spans="1:11" x14ac:dyDescent="0.35">
      <c r="A1306" t="s">
        <v>60</v>
      </c>
      <c r="B1306">
        <v>59328</v>
      </c>
      <c r="C1306">
        <v>-0.20855199999999999</v>
      </c>
      <c r="D1306" s="5">
        <v>7.2702277999999997E-5</v>
      </c>
      <c r="E1306">
        <v>-6.2072418999999997E-2</v>
      </c>
      <c r="F1306">
        <v>0.108416</v>
      </c>
      <c r="G1306" t="s">
        <v>212</v>
      </c>
      <c r="I1306">
        <f t="shared" si="67"/>
        <v>-0.20862470227799998</v>
      </c>
      <c r="J1306">
        <f t="shared" si="68"/>
        <v>-6.2145121277999996E-2</v>
      </c>
      <c r="K1306">
        <f t="shared" si="69"/>
        <v>0.10834329772199999</v>
      </c>
    </row>
    <row r="1307" spans="1:11" x14ac:dyDescent="0.35">
      <c r="A1307" t="s">
        <v>61</v>
      </c>
      <c r="B1307">
        <v>59328</v>
      </c>
      <c r="C1307">
        <v>-4.7516999999999997E-2</v>
      </c>
      <c r="D1307" s="5">
        <v>4.3220585000000003E-5</v>
      </c>
      <c r="E1307">
        <v>-2.1622278000000002E-2</v>
      </c>
      <c r="F1307">
        <v>5.2297999999999997E-2</v>
      </c>
      <c r="G1307" t="s">
        <v>212</v>
      </c>
      <c r="I1307">
        <f t="shared" si="67"/>
        <v>-4.7560220585E-2</v>
      </c>
      <c r="J1307">
        <f t="shared" si="68"/>
        <v>-2.1665498585000002E-2</v>
      </c>
      <c r="K1307">
        <f t="shared" si="69"/>
        <v>5.2254779414999994E-2</v>
      </c>
    </row>
    <row r="1308" spans="1:11" x14ac:dyDescent="0.35">
      <c r="A1308" t="s">
        <v>62</v>
      </c>
      <c r="B1308">
        <v>59328</v>
      </c>
      <c r="C1308">
        <v>6.0595999999999997E-2</v>
      </c>
      <c r="D1308" s="5">
        <v>5.6849163000000003E-5</v>
      </c>
      <c r="E1308">
        <v>-1.0335677999999999E-2</v>
      </c>
      <c r="F1308">
        <v>-5.9991999999999997E-2</v>
      </c>
      <c r="G1308" t="s">
        <v>212</v>
      </c>
      <c r="I1308">
        <f t="shared" si="67"/>
        <v>6.0539150836999997E-2</v>
      </c>
      <c r="J1308">
        <f t="shared" si="68"/>
        <v>-1.0392527162999999E-2</v>
      </c>
      <c r="K1308">
        <f t="shared" si="69"/>
        <v>-6.0048849162999997E-2</v>
      </c>
    </row>
    <row r="1309" spans="1:11" x14ac:dyDescent="0.35">
      <c r="A1309" t="s">
        <v>63</v>
      </c>
      <c r="B1309">
        <v>59328</v>
      </c>
      <c r="C1309">
        <v>5.0991000000000002E-2</v>
      </c>
      <c r="D1309" s="5">
        <v>3.2929674E-5</v>
      </c>
      <c r="E1309">
        <v>5.1065567999999999E-2</v>
      </c>
      <c r="F1309">
        <v>-4.1588E-2</v>
      </c>
      <c r="G1309" t="s">
        <v>212</v>
      </c>
      <c r="I1309">
        <f t="shared" si="67"/>
        <v>5.0958070325999999E-2</v>
      </c>
      <c r="J1309">
        <f t="shared" si="68"/>
        <v>5.1032638325999996E-2</v>
      </c>
      <c r="K1309">
        <f t="shared" si="69"/>
        <v>-4.1620929674000003E-2</v>
      </c>
    </row>
    <row r="1310" spans="1:11" x14ac:dyDescent="0.35">
      <c r="A1310" t="s">
        <v>64</v>
      </c>
      <c r="B1310">
        <v>59328</v>
      </c>
      <c r="C1310">
        <v>4.7619000000000002E-2</v>
      </c>
      <c r="D1310" s="5">
        <v>2.903705E-5</v>
      </c>
      <c r="E1310">
        <v>2.3818125999999998E-2</v>
      </c>
      <c r="F1310">
        <v>9.2320000000000006E-3</v>
      </c>
      <c r="G1310" t="s">
        <v>212</v>
      </c>
      <c r="I1310">
        <f t="shared" si="67"/>
        <v>4.7589962950000002E-2</v>
      </c>
      <c r="J1310">
        <f t="shared" si="68"/>
        <v>2.3789088949999999E-2</v>
      </c>
      <c r="K1310">
        <f t="shared" si="69"/>
        <v>9.2029629500000008E-3</v>
      </c>
    </row>
    <row r="1311" spans="1:11" x14ac:dyDescent="0.35">
      <c r="A1311" t="s">
        <v>65</v>
      </c>
      <c r="B1311">
        <v>59328</v>
      </c>
      <c r="C1311">
        <v>-7.3339000000000001E-2</v>
      </c>
      <c r="D1311" s="5">
        <v>5.4623592999999997E-5</v>
      </c>
      <c r="E1311">
        <v>-7.8533299000000001E-2</v>
      </c>
      <c r="F1311">
        <v>4.5169000000000001E-2</v>
      </c>
      <c r="G1311" t="s">
        <v>212</v>
      </c>
      <c r="I1311">
        <f t="shared" si="67"/>
        <v>-7.3393623593000001E-2</v>
      </c>
      <c r="J1311">
        <f t="shared" si="68"/>
        <v>-7.8587922593000001E-2</v>
      </c>
      <c r="K1311">
        <f t="shared" si="69"/>
        <v>4.5114376407000001E-2</v>
      </c>
    </row>
    <row r="1312" spans="1:11" x14ac:dyDescent="0.35">
      <c r="A1312" t="s">
        <v>66</v>
      </c>
      <c r="B1312">
        <v>59328</v>
      </c>
      <c r="C1312">
        <v>3.3054E-2</v>
      </c>
      <c r="D1312" s="5">
        <v>4.1826541000000002E-5</v>
      </c>
      <c r="E1312">
        <v>-1.3053237000000001E-2</v>
      </c>
      <c r="F1312">
        <v>-1.4442E-2</v>
      </c>
      <c r="G1312" t="s">
        <v>212</v>
      </c>
      <c r="I1312">
        <f t="shared" si="67"/>
        <v>3.3012173459000003E-2</v>
      </c>
      <c r="J1312">
        <f t="shared" si="68"/>
        <v>-1.3095063541000001E-2</v>
      </c>
      <c r="K1312">
        <f t="shared" si="69"/>
        <v>-1.4483826541E-2</v>
      </c>
    </row>
    <row r="1313" spans="1:11" x14ac:dyDescent="0.35">
      <c r="A1313" t="s">
        <v>67</v>
      </c>
      <c r="B1313">
        <v>59328</v>
      </c>
      <c r="C1313">
        <v>3.6954000000000001E-2</v>
      </c>
      <c r="D1313" s="5">
        <v>4.1830043999999998E-5</v>
      </c>
      <c r="E1313">
        <v>1.0535574000000001E-2</v>
      </c>
      <c r="F1313">
        <v>-9.2917E-2</v>
      </c>
      <c r="G1313" t="s">
        <v>212</v>
      </c>
      <c r="I1313">
        <f t="shared" si="67"/>
        <v>3.6912169956000003E-2</v>
      </c>
      <c r="J1313">
        <f t="shared" si="68"/>
        <v>1.0493743956000001E-2</v>
      </c>
      <c r="K1313">
        <f t="shared" si="69"/>
        <v>-9.2958830044000004E-2</v>
      </c>
    </row>
    <row r="1314" spans="1:11" x14ac:dyDescent="0.35">
      <c r="A1314" t="s">
        <v>68</v>
      </c>
      <c r="B1314">
        <v>59328</v>
      </c>
      <c r="C1314">
        <v>-0.18102299999999999</v>
      </c>
      <c r="D1314" s="5">
        <v>4.4332078999999998E-5</v>
      </c>
      <c r="E1314">
        <v>-9.8912783000000004E-2</v>
      </c>
      <c r="F1314">
        <v>4.1120999999999998E-2</v>
      </c>
      <c r="G1314" t="s">
        <v>212</v>
      </c>
      <c r="I1314">
        <f t="shared" si="67"/>
        <v>-0.181067332079</v>
      </c>
      <c r="J1314">
        <f t="shared" si="68"/>
        <v>-9.8957115078999999E-2</v>
      </c>
      <c r="K1314">
        <f t="shared" si="69"/>
        <v>4.1076667920999996E-2</v>
      </c>
    </row>
    <row r="1315" spans="1:11" x14ac:dyDescent="0.35">
      <c r="A1315" t="s">
        <v>69</v>
      </c>
      <c r="B1315">
        <v>59328</v>
      </c>
      <c r="C1315">
        <v>-0.14410000000000001</v>
      </c>
      <c r="D1315" s="5">
        <v>1.54194E-5</v>
      </c>
      <c r="E1315">
        <v>-0.26823696000000002</v>
      </c>
      <c r="F1315">
        <v>-0.16139700000000001</v>
      </c>
      <c r="G1315" t="s">
        <v>212</v>
      </c>
      <c r="I1315">
        <f t="shared" si="67"/>
        <v>-0.1441154194</v>
      </c>
      <c r="J1315">
        <f t="shared" si="68"/>
        <v>-0.26825237940000002</v>
      </c>
      <c r="K1315">
        <f t="shared" si="69"/>
        <v>-0.16141241940000001</v>
      </c>
    </row>
    <row r="1316" spans="1:11" x14ac:dyDescent="0.35">
      <c r="A1316" t="s">
        <v>70</v>
      </c>
      <c r="B1316">
        <v>59328</v>
      </c>
      <c r="C1316">
        <v>-0.130435</v>
      </c>
      <c r="D1316" s="5">
        <v>3.4029399E-6</v>
      </c>
      <c r="E1316">
        <v>-6.0760938E-2</v>
      </c>
      <c r="F1316">
        <v>0.12573599999999999</v>
      </c>
      <c r="G1316" t="s">
        <v>212</v>
      </c>
      <c r="I1316">
        <f t="shared" si="67"/>
        <v>-0.1304384029399</v>
      </c>
      <c r="J1316">
        <f t="shared" si="68"/>
        <v>-6.0764340939899998E-2</v>
      </c>
      <c r="K1316">
        <f t="shared" si="69"/>
        <v>0.12573259706009998</v>
      </c>
    </row>
    <row r="1317" spans="1:11" x14ac:dyDescent="0.35">
      <c r="A1317" t="s">
        <v>71</v>
      </c>
      <c r="B1317">
        <v>59328</v>
      </c>
      <c r="C1317">
        <v>6.2318999999999999E-2</v>
      </c>
      <c r="D1317" s="5">
        <v>9.7223551000000005E-7</v>
      </c>
      <c r="E1317">
        <v>2.2324005000000001E-2</v>
      </c>
      <c r="F1317">
        <v>7.7325000000000005E-2</v>
      </c>
      <c r="G1317" t="s">
        <v>212</v>
      </c>
      <c r="I1317">
        <f t="shared" si="67"/>
        <v>6.2318027764489997E-2</v>
      </c>
      <c r="J1317">
        <f t="shared" si="68"/>
        <v>2.2323032764490002E-2</v>
      </c>
      <c r="K1317">
        <f t="shared" si="69"/>
        <v>7.7324027764490003E-2</v>
      </c>
    </row>
    <row r="1318" spans="1:11" x14ac:dyDescent="0.35">
      <c r="A1318" t="s">
        <v>72</v>
      </c>
      <c r="B1318">
        <v>59328</v>
      </c>
      <c r="C1318">
        <v>-0.120055</v>
      </c>
      <c r="D1318" s="5">
        <v>4.1666856999999999E-7</v>
      </c>
      <c r="E1318">
        <v>-7.8490331999999996E-2</v>
      </c>
      <c r="F1318">
        <v>5.5363000000000002E-2</v>
      </c>
      <c r="G1318" t="s">
        <v>212</v>
      </c>
      <c r="I1318">
        <f t="shared" si="67"/>
        <v>-0.12005541666856999</v>
      </c>
      <c r="J1318">
        <f t="shared" si="68"/>
        <v>-7.849074866856999E-2</v>
      </c>
      <c r="K1318">
        <f t="shared" si="69"/>
        <v>5.5362583331430001E-2</v>
      </c>
    </row>
    <row r="1319" spans="1:11" x14ac:dyDescent="0.35">
      <c r="A1319" t="s">
        <v>73</v>
      </c>
      <c r="B1319">
        <v>59328</v>
      </c>
      <c r="C1319">
        <v>-1.5499999999999999E-3</v>
      </c>
      <c r="D1319" s="5">
        <v>4.1669009000000002E-6</v>
      </c>
      <c r="E1319">
        <v>-0.10050758</v>
      </c>
      <c r="F1319">
        <v>1.4456E-2</v>
      </c>
      <c r="G1319" t="s">
        <v>212</v>
      </c>
      <c r="I1319">
        <f t="shared" si="67"/>
        <v>-1.5541669009000001E-3</v>
      </c>
      <c r="J1319">
        <f t="shared" si="68"/>
        <v>-0.10051174690089999</v>
      </c>
      <c r="K1319">
        <f t="shared" si="69"/>
        <v>1.44518330991E-2</v>
      </c>
    </row>
    <row r="1320" spans="1:11" x14ac:dyDescent="0.35">
      <c r="A1320" t="s">
        <v>74</v>
      </c>
      <c r="B1320">
        <v>59328</v>
      </c>
      <c r="C1320">
        <v>0.17974899999999999</v>
      </c>
      <c r="D1320" s="5">
        <v>4.4447111E-6</v>
      </c>
      <c r="E1320">
        <v>8.7015814999999996E-2</v>
      </c>
      <c r="F1320">
        <v>-2.537E-2</v>
      </c>
      <c r="G1320" t="s">
        <v>212</v>
      </c>
      <c r="I1320">
        <f t="shared" si="67"/>
        <v>0.17974455528889999</v>
      </c>
      <c r="J1320">
        <f t="shared" si="68"/>
        <v>8.7011370288899992E-2</v>
      </c>
      <c r="K1320">
        <f t="shared" si="69"/>
        <v>-2.5374444711100001E-2</v>
      </c>
    </row>
    <row r="1321" spans="1:11" x14ac:dyDescent="0.35">
      <c r="A1321" t="s">
        <v>75</v>
      </c>
      <c r="B1321">
        <v>59328</v>
      </c>
      <c r="C1321">
        <v>4.99E-2</v>
      </c>
      <c r="D1321" s="5">
        <v>3.7501618E-6</v>
      </c>
      <c r="E1321">
        <v>0.10942493</v>
      </c>
      <c r="F1321">
        <v>-3.3341000000000003E-2</v>
      </c>
      <c r="G1321" t="s">
        <v>212</v>
      </c>
      <c r="I1321">
        <f t="shared" si="67"/>
        <v>4.9896249838199999E-2</v>
      </c>
      <c r="J1321">
        <f t="shared" si="68"/>
        <v>0.1094211798382</v>
      </c>
      <c r="K1321">
        <f t="shared" si="69"/>
        <v>-3.3344750161800003E-2</v>
      </c>
    </row>
    <row r="1322" spans="1:11" x14ac:dyDescent="0.35">
      <c r="A1322" t="s">
        <v>76</v>
      </c>
      <c r="B1322">
        <v>59328</v>
      </c>
      <c r="C1322">
        <v>5.0699999999999999E-3</v>
      </c>
      <c r="D1322" s="5">
        <v>1.2500218999999999E-6</v>
      </c>
      <c r="E1322">
        <v>6.7855342999999999E-2</v>
      </c>
      <c r="F1322">
        <v>0.102326</v>
      </c>
      <c r="G1322" t="s">
        <v>212</v>
      </c>
      <c r="I1322">
        <f t="shared" si="67"/>
        <v>5.0687499780999994E-3</v>
      </c>
      <c r="J1322">
        <f t="shared" si="68"/>
        <v>6.7854092978099995E-2</v>
      </c>
      <c r="K1322">
        <f t="shared" si="69"/>
        <v>0.1023247499781</v>
      </c>
    </row>
    <row r="1323" spans="1:11" x14ac:dyDescent="0.35">
      <c r="A1323" t="s">
        <v>77</v>
      </c>
      <c r="B1323">
        <v>59328</v>
      </c>
      <c r="C1323">
        <v>5.2798999999999999E-2</v>
      </c>
      <c r="D1323" s="5">
        <v>4.1669009000000002E-6</v>
      </c>
      <c r="E1323">
        <v>-3.0959923999999998E-3</v>
      </c>
      <c r="F1323">
        <v>-5.2183E-2</v>
      </c>
      <c r="G1323" t="s">
        <v>212</v>
      </c>
      <c r="I1323">
        <f t="shared" si="67"/>
        <v>5.2794833099099998E-2</v>
      </c>
      <c r="J1323">
        <f t="shared" si="68"/>
        <v>-3.1001593008999997E-3</v>
      </c>
      <c r="K1323">
        <f t="shared" si="69"/>
        <v>-5.2187166900900001E-2</v>
      </c>
    </row>
    <row r="1324" spans="1:11" x14ac:dyDescent="0.35">
      <c r="A1324" t="s">
        <v>78</v>
      </c>
      <c r="B1324">
        <v>59328</v>
      </c>
      <c r="C1324">
        <v>0.16314200000000001</v>
      </c>
      <c r="D1324" s="5">
        <v>3.472361E-6</v>
      </c>
      <c r="E1324">
        <v>8.1810951000000007E-2</v>
      </c>
      <c r="F1324">
        <v>2.3799000000000001E-2</v>
      </c>
      <c r="G1324" t="s">
        <v>212</v>
      </c>
      <c r="I1324">
        <f t="shared" si="67"/>
        <v>0.163138527639</v>
      </c>
      <c r="J1324">
        <f t="shared" si="68"/>
        <v>8.1807478639000009E-2</v>
      </c>
      <c r="K1324">
        <f t="shared" si="69"/>
        <v>2.3795527638999999E-2</v>
      </c>
    </row>
    <row r="1325" spans="1:11" x14ac:dyDescent="0.35">
      <c r="A1325" t="s">
        <v>79</v>
      </c>
      <c r="B1325">
        <v>59328</v>
      </c>
      <c r="C1325">
        <v>6.2856999999999996E-2</v>
      </c>
      <c r="D1325" s="5">
        <v>3.7501898E-6</v>
      </c>
      <c r="E1325">
        <v>3.1335082E-2</v>
      </c>
      <c r="F1325">
        <v>5.3600000000000002E-4</v>
      </c>
      <c r="G1325" t="s">
        <v>212</v>
      </c>
      <c r="I1325">
        <f t="shared" si="67"/>
        <v>6.285324981019999E-2</v>
      </c>
      <c r="J1325">
        <f t="shared" si="68"/>
        <v>3.1331331810200001E-2</v>
      </c>
      <c r="K1325">
        <f t="shared" si="69"/>
        <v>5.3224981020000002E-4</v>
      </c>
    </row>
    <row r="1326" spans="1:11" x14ac:dyDescent="0.35">
      <c r="A1326" t="s">
        <v>80</v>
      </c>
      <c r="B1326">
        <v>59328</v>
      </c>
      <c r="C1326">
        <v>-3.6908999999999997E-2</v>
      </c>
      <c r="D1326" s="5">
        <v>3.4723669000000002E-6</v>
      </c>
      <c r="E1326">
        <v>4.5273893000000003E-2</v>
      </c>
      <c r="F1326">
        <v>5.8351E-2</v>
      </c>
      <c r="G1326" t="s">
        <v>212</v>
      </c>
      <c r="I1326">
        <f t="shared" si="67"/>
        <v>-3.6912472366899998E-2</v>
      </c>
      <c r="J1326">
        <f t="shared" si="68"/>
        <v>4.5270420633100002E-2</v>
      </c>
      <c r="K1326">
        <f t="shared" si="69"/>
        <v>5.8347527633099999E-2</v>
      </c>
    </row>
    <row r="1327" spans="1:11" x14ac:dyDescent="0.35">
      <c r="A1327" t="s">
        <v>81</v>
      </c>
      <c r="B1327">
        <v>59328</v>
      </c>
      <c r="C1327">
        <v>-2.3505000000000002E-2</v>
      </c>
      <c r="D1327" s="5">
        <v>1.2500171000000001E-6</v>
      </c>
      <c r="E1327">
        <v>-3.1813566000000001E-2</v>
      </c>
      <c r="F1327">
        <v>3.7227999999999997E-2</v>
      </c>
      <c r="G1327" t="s">
        <v>212</v>
      </c>
      <c r="I1327">
        <f t="shared" si="67"/>
        <v>-2.3506250017100001E-2</v>
      </c>
      <c r="J1327">
        <f t="shared" si="68"/>
        <v>-3.1814816017100005E-2</v>
      </c>
      <c r="K1327">
        <f t="shared" si="69"/>
        <v>3.7226749982899994E-2</v>
      </c>
    </row>
    <row r="1328" spans="1:11" x14ac:dyDescent="0.35">
      <c r="A1328" t="s">
        <v>82</v>
      </c>
      <c r="B1328">
        <v>59328</v>
      </c>
      <c r="C1328">
        <v>1.2036E-2</v>
      </c>
      <c r="D1328" s="5">
        <v>8.3334305000000002E-7</v>
      </c>
      <c r="E1328">
        <v>5.1395169999999997E-2</v>
      </c>
      <c r="F1328">
        <v>0.12786500000000001</v>
      </c>
      <c r="G1328" t="s">
        <v>212</v>
      </c>
      <c r="I1328">
        <f t="shared" si="67"/>
        <v>1.203516665695E-2</v>
      </c>
      <c r="J1328">
        <f t="shared" si="68"/>
        <v>5.139433665695E-2</v>
      </c>
      <c r="K1328">
        <f t="shared" si="69"/>
        <v>0.12786416665695</v>
      </c>
    </row>
    <row r="1329" spans="1:11" x14ac:dyDescent="0.35">
      <c r="A1329" t="s">
        <v>83</v>
      </c>
      <c r="B1329">
        <v>59328</v>
      </c>
      <c r="C1329">
        <v>6.25E-2</v>
      </c>
      <c r="D1329" s="5">
        <v>2.5000749999999999E-6</v>
      </c>
      <c r="E1329">
        <v>2.8345333E-2</v>
      </c>
      <c r="F1329">
        <v>-7.2034000000000001E-2</v>
      </c>
      <c r="G1329" t="s">
        <v>212</v>
      </c>
      <c r="I1329">
        <f t="shared" si="67"/>
        <v>6.2497499924999998E-2</v>
      </c>
      <c r="J1329">
        <f t="shared" si="68"/>
        <v>2.8342832925000002E-2</v>
      </c>
      <c r="K1329">
        <f t="shared" si="69"/>
        <v>-7.2036500074999996E-2</v>
      </c>
    </row>
    <row r="1330" spans="1:11" x14ac:dyDescent="0.35">
      <c r="A1330" t="s">
        <v>84</v>
      </c>
      <c r="B1330">
        <v>59328</v>
      </c>
      <c r="C1330">
        <v>-4.9020000000000001E-2</v>
      </c>
      <c r="D1330" s="5">
        <v>1.5278105E-6</v>
      </c>
      <c r="E1330">
        <v>-3.7133395999999999E-2</v>
      </c>
      <c r="F1330">
        <v>-1.2579999999999999E-2</v>
      </c>
      <c r="G1330" t="s">
        <v>212</v>
      </c>
      <c r="I1330">
        <f t="shared" si="67"/>
        <v>-4.9021527810500003E-2</v>
      </c>
      <c r="J1330">
        <f t="shared" si="68"/>
        <v>-3.7134923810500001E-2</v>
      </c>
      <c r="K1330">
        <f t="shared" si="69"/>
        <v>-1.2581527810499999E-2</v>
      </c>
    </row>
    <row r="1331" spans="1:11" x14ac:dyDescent="0.35">
      <c r="A1331" t="s">
        <v>85</v>
      </c>
      <c r="B1331">
        <v>59328</v>
      </c>
      <c r="C1331">
        <v>6.6365999999999994E-2</v>
      </c>
      <c r="D1331" s="5">
        <v>4.1666901999999998E-7</v>
      </c>
      <c r="E1331">
        <v>3.4774009000000002E-2</v>
      </c>
      <c r="F1331">
        <v>3.2747999999999999E-2</v>
      </c>
      <c r="G1331" t="s">
        <v>212</v>
      </c>
      <c r="I1331">
        <f t="shared" si="67"/>
        <v>6.6365583330979999E-2</v>
      </c>
      <c r="J1331">
        <f t="shared" si="68"/>
        <v>3.4773592330979999E-2</v>
      </c>
      <c r="K1331">
        <f t="shared" si="69"/>
        <v>3.2747583330979997E-2</v>
      </c>
    </row>
    <row r="1332" spans="1:11" x14ac:dyDescent="0.35">
      <c r="A1332" t="s">
        <v>86</v>
      </c>
      <c r="B1332">
        <v>59328</v>
      </c>
      <c r="C1332">
        <v>8.5727999999999999E-2</v>
      </c>
      <c r="D1332" s="5">
        <v>2.6389829999999998E-6</v>
      </c>
      <c r="E1332">
        <v>6.3639558999999998E-2</v>
      </c>
      <c r="F1332">
        <v>-4.3860000000000001E-3</v>
      </c>
      <c r="G1332" t="s">
        <v>212</v>
      </c>
      <c r="I1332">
        <f t="shared" si="67"/>
        <v>8.5725361016999999E-2</v>
      </c>
      <c r="J1332">
        <f t="shared" si="68"/>
        <v>6.3636920016999998E-2</v>
      </c>
      <c r="K1332">
        <f t="shared" si="69"/>
        <v>-4.3886389830000002E-3</v>
      </c>
    </row>
    <row r="1333" spans="1:11" x14ac:dyDescent="0.35">
      <c r="A1333" t="s">
        <v>87</v>
      </c>
      <c r="B1333">
        <v>59328</v>
      </c>
      <c r="C1333">
        <v>2.4674999999999999E-2</v>
      </c>
      <c r="D1333" s="5">
        <v>4.0279559999999999E-6</v>
      </c>
      <c r="E1333">
        <v>2.0069690000000001E-2</v>
      </c>
      <c r="F1333">
        <v>5.8833999999999997E-2</v>
      </c>
      <c r="G1333" t="s">
        <v>212</v>
      </c>
      <c r="I1333">
        <f t="shared" si="67"/>
        <v>2.4670972043999997E-2</v>
      </c>
      <c r="J1333">
        <f t="shared" si="68"/>
        <v>2.0065662044E-2</v>
      </c>
      <c r="K1333">
        <f t="shared" si="69"/>
        <v>5.8829972043999999E-2</v>
      </c>
    </row>
    <row r="1334" spans="1:11" x14ac:dyDescent="0.35">
      <c r="A1334" t="s">
        <v>88</v>
      </c>
      <c r="B1334">
        <v>59328</v>
      </c>
      <c r="C1334">
        <v>-5.5275999999999999E-2</v>
      </c>
      <c r="D1334" s="5">
        <v>4.1669009000000002E-6</v>
      </c>
      <c r="E1334">
        <v>-7.9213500000000006E-2</v>
      </c>
      <c r="F1334">
        <v>3.0522000000000001E-2</v>
      </c>
      <c r="G1334" t="s">
        <v>212</v>
      </c>
      <c r="I1334">
        <f t="shared" si="67"/>
        <v>-5.5280166900899999E-2</v>
      </c>
      <c r="J1334">
        <f t="shared" si="68"/>
        <v>-7.92176669009E-2</v>
      </c>
      <c r="K1334">
        <f t="shared" si="69"/>
        <v>3.05178330991E-2</v>
      </c>
    </row>
    <row r="1335" spans="1:11" x14ac:dyDescent="0.35">
      <c r="A1335" t="s">
        <v>89</v>
      </c>
      <c r="B1335">
        <v>59328</v>
      </c>
      <c r="C1335">
        <v>-9.1969999999999996E-2</v>
      </c>
      <c r="D1335" s="5">
        <v>4.4447111E-6</v>
      </c>
      <c r="E1335">
        <v>-5.0825889999999999E-2</v>
      </c>
      <c r="F1335">
        <v>2.3545E-2</v>
      </c>
      <c r="G1335" t="s">
        <v>212</v>
      </c>
      <c r="I1335">
        <f t="shared" si="67"/>
        <v>-9.1974444711100001E-2</v>
      </c>
      <c r="J1335">
        <f t="shared" si="68"/>
        <v>-5.0830334711099996E-2</v>
      </c>
      <c r="K1335">
        <f t="shared" si="69"/>
        <v>2.3540555288899999E-2</v>
      </c>
    </row>
    <row r="1336" spans="1:11" x14ac:dyDescent="0.35">
      <c r="A1336" t="s">
        <v>90</v>
      </c>
      <c r="B1336">
        <v>59328</v>
      </c>
      <c r="C1336">
        <v>5.9125999999999998E-2</v>
      </c>
      <c r="D1336" s="5">
        <v>3.7501547000000001E-6</v>
      </c>
      <c r="E1336">
        <v>7.0217035999999997E-2</v>
      </c>
      <c r="F1336">
        <v>-5.0871E-2</v>
      </c>
      <c r="G1336" t="s">
        <v>212</v>
      </c>
      <c r="I1336">
        <f t="shared" si="67"/>
        <v>5.9122249845299998E-2</v>
      </c>
      <c r="J1336">
        <f t="shared" si="68"/>
        <v>7.0213285845299997E-2</v>
      </c>
      <c r="K1336">
        <f t="shared" si="69"/>
        <v>-5.0874750154699999E-2</v>
      </c>
    </row>
    <row r="1337" spans="1:11" x14ac:dyDescent="0.35">
      <c r="A1337" t="s">
        <v>91</v>
      </c>
      <c r="B1337">
        <v>59328</v>
      </c>
      <c r="C1337">
        <v>-0.13483000000000001</v>
      </c>
      <c r="D1337" s="5">
        <v>4.1669009000000002E-6</v>
      </c>
      <c r="E1337">
        <v>-4.2918108000000003E-2</v>
      </c>
      <c r="F1337">
        <v>5.7061000000000001E-2</v>
      </c>
      <c r="G1337" t="s">
        <v>212</v>
      </c>
      <c r="I1337">
        <f t="shared" si="67"/>
        <v>-0.1348341669009</v>
      </c>
      <c r="J1337">
        <f t="shared" si="68"/>
        <v>-4.2922274900900004E-2</v>
      </c>
      <c r="K1337">
        <f t="shared" si="69"/>
        <v>5.70568330991E-2</v>
      </c>
    </row>
    <row r="1338" spans="1:11" x14ac:dyDescent="0.35">
      <c r="A1338" t="s">
        <v>92</v>
      </c>
      <c r="B1338">
        <v>59328</v>
      </c>
      <c r="C1338">
        <v>8.6895E-2</v>
      </c>
      <c r="D1338" s="5">
        <v>4.7224784999999996E-6</v>
      </c>
      <c r="E1338">
        <v>9.1566808999999999E-2</v>
      </c>
      <c r="F1338">
        <v>4.7756E-2</v>
      </c>
      <c r="G1338" t="s">
        <v>212</v>
      </c>
      <c r="I1338">
        <f t="shared" si="67"/>
        <v>8.6890277521499998E-2</v>
      </c>
      <c r="J1338">
        <f t="shared" si="68"/>
        <v>9.1562086521499997E-2</v>
      </c>
      <c r="K1338">
        <f t="shared" si="69"/>
        <v>4.7751277521499998E-2</v>
      </c>
    </row>
    <row r="1339" spans="1:11" x14ac:dyDescent="0.35">
      <c r="A1339" t="s">
        <v>93</v>
      </c>
      <c r="B1339">
        <v>59328</v>
      </c>
      <c r="C1339">
        <v>4.4270999999999998E-2</v>
      </c>
      <c r="D1339" s="5">
        <v>4.3058153000000004E-6</v>
      </c>
      <c r="E1339">
        <v>3.7957888000000002E-2</v>
      </c>
      <c r="F1339">
        <v>3.6823000000000002E-2</v>
      </c>
      <c r="G1339" t="s">
        <v>212</v>
      </c>
      <c r="I1339">
        <f t="shared" ref="I1339:I1402" si="70">C1339-D1339</f>
        <v>4.4266694184700001E-2</v>
      </c>
      <c r="J1339">
        <f t="shared" ref="J1339:J1402" si="71">E1339-D1339</f>
        <v>3.7953582184700005E-2</v>
      </c>
      <c r="K1339">
        <f t="shared" ref="K1339:K1402" si="72">F1339-D1339</f>
        <v>3.6818694184700004E-2</v>
      </c>
    </row>
    <row r="1340" spans="1:11" x14ac:dyDescent="0.35">
      <c r="A1340" t="s">
        <v>94</v>
      </c>
      <c r="B1340">
        <v>59328</v>
      </c>
      <c r="C1340">
        <v>6.3091999999999995E-2</v>
      </c>
      <c r="D1340" s="5">
        <v>4.0280046999999999E-6</v>
      </c>
      <c r="E1340">
        <v>8.7761291999999998E-3</v>
      </c>
      <c r="F1340">
        <v>2.1113E-2</v>
      </c>
      <c r="G1340" t="s">
        <v>212</v>
      </c>
      <c r="I1340">
        <f t="shared" si="70"/>
        <v>6.3087971995300002E-2</v>
      </c>
      <c r="J1340">
        <f t="shared" si="71"/>
        <v>8.7721011952999993E-3</v>
      </c>
      <c r="K1340">
        <f t="shared" si="72"/>
        <v>2.1108971995299999E-2</v>
      </c>
    </row>
    <row r="1341" spans="1:11" x14ac:dyDescent="0.35">
      <c r="A1341" t="s">
        <v>95</v>
      </c>
      <c r="B1341">
        <v>59328</v>
      </c>
      <c r="C1341">
        <v>-6.0260000000000001E-3</v>
      </c>
      <c r="D1341" s="5">
        <v>4.7224784999999996E-6</v>
      </c>
      <c r="E1341">
        <v>6.7283355000000003E-2</v>
      </c>
      <c r="F1341">
        <v>2.4368999999999998E-2</v>
      </c>
      <c r="G1341" t="s">
        <v>212</v>
      </c>
      <c r="I1341">
        <f t="shared" si="70"/>
        <v>-6.0307224784999997E-3</v>
      </c>
      <c r="J1341">
        <f t="shared" si="71"/>
        <v>6.7278632521500001E-2</v>
      </c>
      <c r="K1341">
        <f t="shared" si="72"/>
        <v>2.43642775215E-2</v>
      </c>
    </row>
    <row r="1342" spans="1:11" x14ac:dyDescent="0.35">
      <c r="A1342" t="s">
        <v>96</v>
      </c>
      <c r="B1342">
        <v>59328</v>
      </c>
      <c r="C1342">
        <v>2.0447E-2</v>
      </c>
      <c r="D1342" s="5">
        <v>1.5278093000000001E-6</v>
      </c>
      <c r="E1342">
        <v>1.9074834999999998E-2</v>
      </c>
      <c r="F1342">
        <v>-6.3797999999999994E-2</v>
      </c>
      <c r="G1342" t="s">
        <v>212</v>
      </c>
      <c r="I1342">
        <f t="shared" si="70"/>
        <v>2.04454721907E-2</v>
      </c>
      <c r="J1342">
        <f t="shared" si="71"/>
        <v>1.9073307190699999E-2</v>
      </c>
      <c r="K1342">
        <f t="shared" si="72"/>
        <v>-6.3799527809299997E-2</v>
      </c>
    </row>
    <row r="1343" spans="1:11" x14ac:dyDescent="0.35">
      <c r="A1343" t="s">
        <v>97</v>
      </c>
      <c r="B1343">
        <v>59328</v>
      </c>
      <c r="C1343">
        <v>8.9099999999999995E-3</v>
      </c>
      <c r="D1343" s="5">
        <v>4.1668749999999998E-6</v>
      </c>
      <c r="E1343">
        <v>3.8132824000000003E-2</v>
      </c>
      <c r="F1343">
        <v>5.9991000000000003E-2</v>
      </c>
      <c r="G1343" t="s">
        <v>212</v>
      </c>
      <c r="I1343">
        <f t="shared" si="70"/>
        <v>8.9058331250000001E-3</v>
      </c>
      <c r="J1343">
        <f t="shared" si="71"/>
        <v>3.8128657125E-2</v>
      </c>
      <c r="K1343">
        <f t="shared" si="72"/>
        <v>5.9986833125E-2</v>
      </c>
    </row>
    <row r="1344" spans="1:11" x14ac:dyDescent="0.35">
      <c r="A1344" t="s">
        <v>98</v>
      </c>
      <c r="B1344">
        <v>59328</v>
      </c>
      <c r="C1344">
        <v>-6.0083999999999999E-2</v>
      </c>
      <c r="D1344" s="5">
        <v>3.7501688E-6</v>
      </c>
      <c r="E1344">
        <v>3.4299082999999998E-3</v>
      </c>
      <c r="F1344">
        <v>1.5973999999999999E-2</v>
      </c>
      <c r="G1344" t="s">
        <v>212</v>
      </c>
      <c r="I1344">
        <f t="shared" si="70"/>
        <v>-6.0087750168799997E-2</v>
      </c>
      <c r="J1344">
        <f t="shared" si="71"/>
        <v>3.4261581312E-3</v>
      </c>
      <c r="K1344">
        <f t="shared" si="72"/>
        <v>1.59702498312E-2</v>
      </c>
    </row>
    <row r="1345" spans="1:11" x14ac:dyDescent="0.35">
      <c r="A1345" t="s">
        <v>99</v>
      </c>
      <c r="B1345">
        <v>59328</v>
      </c>
      <c r="C1345">
        <v>0.147175</v>
      </c>
      <c r="D1345" s="5">
        <v>1.8056012E-6</v>
      </c>
      <c r="E1345">
        <v>2.8691142999999999E-2</v>
      </c>
      <c r="F1345">
        <v>8.9446999999999999E-2</v>
      </c>
      <c r="G1345" t="s">
        <v>212</v>
      </c>
      <c r="I1345">
        <f t="shared" si="70"/>
        <v>0.1471731943988</v>
      </c>
      <c r="J1345">
        <f t="shared" si="71"/>
        <v>2.8689337398799999E-2</v>
      </c>
      <c r="K1345">
        <f t="shared" si="72"/>
        <v>8.9445194398799999E-2</v>
      </c>
    </row>
    <row r="1346" spans="1:11" x14ac:dyDescent="0.35">
      <c r="A1346" t="s">
        <v>100</v>
      </c>
      <c r="B1346">
        <v>59328</v>
      </c>
      <c r="C1346">
        <v>-1.9819E-2</v>
      </c>
      <c r="D1346" s="5">
        <v>8.3334270999999995E-7</v>
      </c>
      <c r="E1346">
        <v>-1.4824624999999999E-2</v>
      </c>
      <c r="F1346">
        <v>-1.7916999999999999E-2</v>
      </c>
      <c r="G1346" t="s">
        <v>212</v>
      </c>
      <c r="I1346">
        <f t="shared" si="70"/>
        <v>-1.9819833342710001E-2</v>
      </c>
      <c r="J1346">
        <f t="shared" si="71"/>
        <v>-1.4825458342709999E-2</v>
      </c>
      <c r="K1346">
        <f t="shared" si="72"/>
        <v>-1.791783334271E-2</v>
      </c>
    </row>
    <row r="1347" spans="1:11" x14ac:dyDescent="0.35">
      <c r="A1347" t="s">
        <v>101</v>
      </c>
      <c r="B1347">
        <v>59328</v>
      </c>
      <c r="C1347">
        <v>-1.5549E-2</v>
      </c>
      <c r="D1347" s="5">
        <v>1.2500179E-6</v>
      </c>
      <c r="E1347">
        <v>-1.8264328999999999E-2</v>
      </c>
      <c r="F1347">
        <v>-2.4317999999999999E-2</v>
      </c>
      <c r="G1347" t="s">
        <v>212</v>
      </c>
      <c r="I1347">
        <f t="shared" si="70"/>
        <v>-1.5550250017900001E-2</v>
      </c>
      <c r="J1347">
        <f t="shared" si="71"/>
        <v>-1.8265579017899998E-2</v>
      </c>
      <c r="K1347">
        <f t="shared" si="72"/>
        <v>-2.4319250017899998E-2</v>
      </c>
    </row>
    <row r="1348" spans="1:11" x14ac:dyDescent="0.35">
      <c r="A1348" t="s">
        <v>102</v>
      </c>
      <c r="B1348">
        <v>59328</v>
      </c>
      <c r="C1348">
        <v>7.6709999999999999E-3</v>
      </c>
      <c r="D1348" s="5">
        <v>5.5555989E-7</v>
      </c>
      <c r="E1348">
        <v>-2.2433277000000001E-2</v>
      </c>
      <c r="F1348">
        <v>8.4170999999999996E-2</v>
      </c>
      <c r="G1348" t="s">
        <v>212</v>
      </c>
      <c r="I1348">
        <f t="shared" si="70"/>
        <v>7.6704444401099999E-3</v>
      </c>
      <c r="J1348">
        <f t="shared" si="71"/>
        <v>-2.2433832559890003E-2</v>
      </c>
      <c r="K1348">
        <f t="shared" si="72"/>
        <v>8.4170444440110001E-2</v>
      </c>
    </row>
    <row r="1349" spans="1:11" x14ac:dyDescent="0.35">
      <c r="A1349" t="s">
        <v>103</v>
      </c>
      <c r="B1349">
        <v>59328</v>
      </c>
      <c r="C1349">
        <v>-8.9118000000000003E-2</v>
      </c>
      <c r="D1349" s="5">
        <v>5.0003378000000001E-6</v>
      </c>
      <c r="E1349">
        <v>-5.7314354999999997E-2</v>
      </c>
      <c r="F1349">
        <v>0.122749</v>
      </c>
      <c r="G1349" t="s">
        <v>212</v>
      </c>
      <c r="I1349">
        <f t="shared" si="70"/>
        <v>-8.9123000337800004E-2</v>
      </c>
      <c r="J1349">
        <f t="shared" si="71"/>
        <v>-5.7319355337799999E-2</v>
      </c>
      <c r="K1349">
        <f t="shared" si="72"/>
        <v>0.1227439996622</v>
      </c>
    </row>
    <row r="1350" spans="1:11" x14ac:dyDescent="0.35">
      <c r="A1350" t="s">
        <v>104</v>
      </c>
      <c r="B1350">
        <v>59328</v>
      </c>
      <c r="C1350">
        <v>5.9860999999999998E-2</v>
      </c>
      <c r="D1350" s="5">
        <v>4.1666856999999999E-7</v>
      </c>
      <c r="E1350">
        <v>-8.4963291999999996E-2</v>
      </c>
      <c r="F1350">
        <v>-0.110623</v>
      </c>
      <c r="G1350" t="s">
        <v>212</v>
      </c>
      <c r="I1350">
        <f t="shared" si="70"/>
        <v>5.9860583331429996E-2</v>
      </c>
      <c r="J1350">
        <f t="shared" si="71"/>
        <v>-8.496370866856999E-2</v>
      </c>
      <c r="K1350">
        <f t="shared" si="72"/>
        <v>-0.11062341666856999</v>
      </c>
    </row>
    <row r="1351" spans="1:11" x14ac:dyDescent="0.35">
      <c r="A1351" t="s">
        <v>105</v>
      </c>
      <c r="B1351">
        <v>59328</v>
      </c>
      <c r="C1351">
        <v>0.150223</v>
      </c>
      <c r="D1351" s="5">
        <v>5.5555972000000002E-7</v>
      </c>
      <c r="E1351">
        <v>7.7098571000000005E-2</v>
      </c>
      <c r="F1351">
        <v>5.8712E-2</v>
      </c>
      <c r="G1351" t="s">
        <v>212</v>
      </c>
      <c r="I1351">
        <f t="shared" si="70"/>
        <v>0.15022244444027999</v>
      </c>
      <c r="J1351">
        <f t="shared" si="71"/>
        <v>7.7098015440279999E-2</v>
      </c>
      <c r="K1351">
        <f t="shared" si="72"/>
        <v>5.8711444440280001E-2</v>
      </c>
    </row>
    <row r="1352" spans="1:11" x14ac:dyDescent="0.35">
      <c r="A1352" t="s">
        <v>106</v>
      </c>
      <c r="B1352">
        <v>59328</v>
      </c>
      <c r="C1352">
        <v>2.3635E-2</v>
      </c>
      <c r="D1352" s="5">
        <v>6.9445048000000002E-7</v>
      </c>
      <c r="E1352">
        <v>-2.5843721E-2</v>
      </c>
      <c r="F1352">
        <v>1.6673E-2</v>
      </c>
      <c r="G1352" t="s">
        <v>212</v>
      </c>
      <c r="I1352">
        <f t="shared" si="70"/>
        <v>2.363430554952E-2</v>
      </c>
      <c r="J1352">
        <f t="shared" si="71"/>
        <v>-2.584441545048E-2</v>
      </c>
      <c r="K1352">
        <f t="shared" si="72"/>
        <v>1.6672305549520001E-2</v>
      </c>
    </row>
    <row r="1353" spans="1:11" x14ac:dyDescent="0.35">
      <c r="A1353" t="s">
        <v>107</v>
      </c>
      <c r="B1353">
        <v>59328</v>
      </c>
      <c r="C1353">
        <v>-2.6495000000000001E-2</v>
      </c>
      <c r="D1353" s="5">
        <v>1.6666698E-7</v>
      </c>
      <c r="E1353">
        <v>3.7129038999999999E-3</v>
      </c>
      <c r="F1353">
        <v>-0.106624</v>
      </c>
      <c r="G1353" t="s">
        <v>212</v>
      </c>
      <c r="I1353">
        <f t="shared" si="70"/>
        <v>-2.649516666698E-2</v>
      </c>
      <c r="J1353">
        <f t="shared" si="71"/>
        <v>3.7127372330199998E-3</v>
      </c>
      <c r="K1353">
        <f t="shared" si="72"/>
        <v>-0.10662416666697999</v>
      </c>
    </row>
    <row r="1354" spans="1:11" x14ac:dyDescent="0.35">
      <c r="A1354" t="s">
        <v>108</v>
      </c>
      <c r="B1354">
        <v>59328</v>
      </c>
      <c r="C1354">
        <v>8.9484999999999995E-2</v>
      </c>
      <c r="D1354" s="5">
        <v>4.1666901999999998E-7</v>
      </c>
      <c r="E1354">
        <v>5.4102684999999998E-2</v>
      </c>
      <c r="F1354">
        <v>0.113955</v>
      </c>
      <c r="G1354" t="s">
        <v>212</v>
      </c>
      <c r="I1354">
        <f t="shared" si="70"/>
        <v>8.948458333098E-2</v>
      </c>
      <c r="J1354">
        <f t="shared" si="71"/>
        <v>5.4102268330979995E-2</v>
      </c>
      <c r="K1354">
        <f t="shared" si="72"/>
        <v>0.11395458333098001</v>
      </c>
    </row>
    <row r="1355" spans="1:11" x14ac:dyDescent="0.35">
      <c r="A1355" t="s">
        <v>109</v>
      </c>
      <c r="B1355">
        <v>59328</v>
      </c>
      <c r="C1355">
        <v>2.5360000000000001E-2</v>
      </c>
      <c r="D1355" s="5">
        <v>1.6666986000000001E-6</v>
      </c>
      <c r="E1355">
        <v>4.1180659000000001E-2</v>
      </c>
      <c r="F1355">
        <v>-2.9673000000000001E-2</v>
      </c>
      <c r="G1355" t="s">
        <v>212</v>
      </c>
      <c r="I1355">
        <f t="shared" si="70"/>
        <v>2.5358333301399999E-2</v>
      </c>
      <c r="J1355">
        <f t="shared" si="71"/>
        <v>4.11789923014E-2</v>
      </c>
      <c r="K1355">
        <f t="shared" si="72"/>
        <v>-2.9674666698600003E-2</v>
      </c>
    </row>
    <row r="1356" spans="1:11" x14ac:dyDescent="0.35">
      <c r="A1356" t="s">
        <v>110</v>
      </c>
      <c r="B1356">
        <v>59328</v>
      </c>
      <c r="C1356">
        <v>4.5945E-2</v>
      </c>
      <c r="D1356" s="5">
        <v>1.1111247000000001E-6</v>
      </c>
      <c r="E1356">
        <v>2.4026984000000001E-2</v>
      </c>
      <c r="F1356">
        <v>-1.3184E-2</v>
      </c>
      <c r="G1356" t="s">
        <v>212</v>
      </c>
      <c r="I1356">
        <f t="shared" si="70"/>
        <v>4.5943888875300001E-2</v>
      </c>
      <c r="J1356">
        <f t="shared" si="71"/>
        <v>2.4025872875300003E-2</v>
      </c>
      <c r="K1356">
        <f t="shared" si="72"/>
        <v>-1.31851111247E-2</v>
      </c>
    </row>
    <row r="1357" spans="1:11" x14ac:dyDescent="0.35">
      <c r="A1357" t="s">
        <v>111</v>
      </c>
      <c r="B1357">
        <v>59328</v>
      </c>
      <c r="C1357">
        <v>9.9590000000000008E-3</v>
      </c>
      <c r="D1357" s="5">
        <v>9.722349400000001E-7</v>
      </c>
      <c r="E1357">
        <v>-6.8070008E-3</v>
      </c>
      <c r="F1357">
        <v>-1.48E-3</v>
      </c>
      <c r="G1357" t="s">
        <v>212</v>
      </c>
      <c r="I1357">
        <f t="shared" si="70"/>
        <v>9.958027765060001E-3</v>
      </c>
      <c r="J1357">
        <f t="shared" si="71"/>
        <v>-6.8079730349399998E-3</v>
      </c>
      <c r="K1357">
        <f t="shared" si="72"/>
        <v>-1.4809722349400001E-3</v>
      </c>
    </row>
    <row r="1358" spans="1:11" x14ac:dyDescent="0.35">
      <c r="A1358" t="s">
        <v>112</v>
      </c>
      <c r="B1358">
        <v>59328</v>
      </c>
      <c r="C1358">
        <v>-8.2585000000000006E-2</v>
      </c>
      <c r="D1358" s="5">
        <v>1.8055947E-6</v>
      </c>
      <c r="E1358">
        <v>-6.5889180000000006E-2</v>
      </c>
      <c r="F1358">
        <v>-6.3380000000000006E-2</v>
      </c>
      <c r="G1358" t="s">
        <v>212</v>
      </c>
      <c r="I1358">
        <f t="shared" si="70"/>
        <v>-8.2586805594700011E-2</v>
      </c>
      <c r="J1358">
        <f t="shared" si="71"/>
        <v>-6.5890985594700011E-2</v>
      </c>
      <c r="K1358">
        <f t="shared" si="72"/>
        <v>-6.3381805594700011E-2</v>
      </c>
    </row>
    <row r="1359" spans="1:11" x14ac:dyDescent="0.35">
      <c r="A1359" t="s">
        <v>113</v>
      </c>
      <c r="B1359">
        <v>59328</v>
      </c>
      <c r="C1359">
        <v>3.1347E-2</v>
      </c>
      <c r="D1359" s="5">
        <v>8.3334305000000002E-7</v>
      </c>
      <c r="E1359">
        <v>3.8209856E-2</v>
      </c>
      <c r="F1359">
        <v>2.3546000000000001E-2</v>
      </c>
      <c r="G1359" t="s">
        <v>212</v>
      </c>
      <c r="I1359">
        <f t="shared" si="70"/>
        <v>3.1346166656950003E-2</v>
      </c>
      <c r="J1359">
        <f t="shared" si="71"/>
        <v>3.8209022656950004E-2</v>
      </c>
      <c r="K1359">
        <f t="shared" si="72"/>
        <v>2.3545166656950001E-2</v>
      </c>
    </row>
    <row r="1360" spans="1:11" x14ac:dyDescent="0.35">
      <c r="A1360" t="s">
        <v>114</v>
      </c>
      <c r="B1360">
        <v>59328</v>
      </c>
      <c r="C1360">
        <v>-3.5646999999999998E-2</v>
      </c>
      <c r="D1360" s="5">
        <v>9.722349400000001E-7</v>
      </c>
      <c r="E1360">
        <v>1.0293739999999999E-2</v>
      </c>
      <c r="F1360">
        <v>8.3770000000000008E-3</v>
      </c>
      <c r="G1360" t="s">
        <v>212</v>
      </c>
      <c r="I1360">
        <f t="shared" si="70"/>
        <v>-3.5647972234939998E-2</v>
      </c>
      <c r="J1360">
        <f t="shared" si="71"/>
        <v>1.0292767765059999E-2</v>
      </c>
      <c r="K1360">
        <f t="shared" si="72"/>
        <v>8.3760277650600009E-3</v>
      </c>
    </row>
    <row r="1361" spans="1:11" x14ac:dyDescent="0.35">
      <c r="A1361" t="s">
        <v>115</v>
      </c>
      <c r="B1361">
        <v>59328</v>
      </c>
      <c r="C1361">
        <v>-2.5097000000000001E-2</v>
      </c>
      <c r="D1361" s="5">
        <v>1.3889111E-6</v>
      </c>
      <c r="E1361">
        <v>2.6292300000000001E-2</v>
      </c>
      <c r="F1361">
        <v>4.9396000000000002E-2</v>
      </c>
      <c r="G1361" t="s">
        <v>212</v>
      </c>
      <c r="I1361">
        <f t="shared" si="70"/>
        <v>-2.50983889111E-2</v>
      </c>
      <c r="J1361">
        <f t="shared" si="71"/>
        <v>2.6290911088900002E-2</v>
      </c>
      <c r="K1361">
        <f t="shared" si="72"/>
        <v>4.9394611088900003E-2</v>
      </c>
    </row>
    <row r="1362" spans="1:11" x14ac:dyDescent="0.35">
      <c r="A1362" t="s">
        <v>116</v>
      </c>
      <c r="B1362">
        <v>59328</v>
      </c>
      <c r="C1362">
        <v>-8.7595999999999993E-2</v>
      </c>
      <c r="D1362" s="5">
        <v>2.3611862999999998E-6</v>
      </c>
      <c r="E1362">
        <v>2.6509768999999999E-2</v>
      </c>
      <c r="F1362">
        <v>4.6705999999999998E-2</v>
      </c>
      <c r="G1362" t="s">
        <v>212</v>
      </c>
      <c r="I1362">
        <f t="shared" si="70"/>
        <v>-8.7598361186299989E-2</v>
      </c>
      <c r="J1362">
        <f t="shared" si="71"/>
        <v>2.65074078137E-2</v>
      </c>
      <c r="K1362">
        <f t="shared" si="72"/>
        <v>4.6703638813699995E-2</v>
      </c>
    </row>
    <row r="1363" spans="1:11" x14ac:dyDescent="0.35">
      <c r="A1363" t="s">
        <v>117</v>
      </c>
      <c r="B1363">
        <v>59328</v>
      </c>
      <c r="C1363">
        <v>-4.5243999999999999E-2</v>
      </c>
      <c r="D1363" s="5">
        <v>1.5278093000000001E-6</v>
      </c>
      <c r="E1363">
        <v>-1.0423534999999999E-2</v>
      </c>
      <c r="F1363">
        <v>-2.9437000000000001E-2</v>
      </c>
      <c r="G1363" t="s">
        <v>212</v>
      </c>
      <c r="I1363">
        <f t="shared" si="70"/>
        <v>-4.5245527809300003E-2</v>
      </c>
      <c r="J1363">
        <f t="shared" si="71"/>
        <v>-1.0425062809299999E-2</v>
      </c>
      <c r="K1363">
        <f t="shared" si="72"/>
        <v>-2.9438527809300001E-2</v>
      </c>
    </row>
    <row r="1364" spans="1:11" x14ac:dyDescent="0.35">
      <c r="A1364" t="s">
        <v>118</v>
      </c>
      <c r="B1364">
        <v>59328</v>
      </c>
      <c r="C1364">
        <v>-8.5067000000000004E-2</v>
      </c>
      <c r="D1364" s="5">
        <v>2.7778665000000001E-6</v>
      </c>
      <c r="E1364">
        <v>6.5123695000000002E-3</v>
      </c>
      <c r="F1364">
        <v>-4.6750000000000003E-3</v>
      </c>
      <c r="G1364" t="s">
        <v>212</v>
      </c>
      <c r="I1364">
        <f t="shared" si="70"/>
        <v>-8.506977786650001E-2</v>
      </c>
      <c r="J1364">
        <f t="shared" si="71"/>
        <v>6.5095916335000002E-3</v>
      </c>
      <c r="K1364">
        <f t="shared" si="72"/>
        <v>-4.6777778665000004E-3</v>
      </c>
    </row>
    <row r="1365" spans="1:11" x14ac:dyDescent="0.35">
      <c r="A1365" t="s">
        <v>119</v>
      </c>
      <c r="B1365">
        <v>59328</v>
      </c>
      <c r="C1365">
        <v>5.3922999999999999E-2</v>
      </c>
      <c r="D1365" s="5">
        <v>3.1945822000000001E-6</v>
      </c>
      <c r="E1365">
        <v>1.2589275E-2</v>
      </c>
      <c r="F1365">
        <v>-2.4267E-2</v>
      </c>
      <c r="G1365" t="s">
        <v>212</v>
      </c>
      <c r="I1365">
        <f t="shared" si="70"/>
        <v>5.3919805417799997E-2</v>
      </c>
      <c r="J1365">
        <f t="shared" si="71"/>
        <v>1.2586080417800001E-2</v>
      </c>
      <c r="K1365">
        <f t="shared" si="72"/>
        <v>-2.4270194582200002E-2</v>
      </c>
    </row>
    <row r="1366" spans="1:11" x14ac:dyDescent="0.35">
      <c r="A1366" t="s">
        <v>120</v>
      </c>
      <c r="B1366">
        <v>59328</v>
      </c>
      <c r="C1366">
        <v>2.0369000000000002E-2</v>
      </c>
      <c r="D1366" s="5">
        <v>5.5555926999999998E-7</v>
      </c>
      <c r="E1366">
        <v>5.4154015999999999E-2</v>
      </c>
      <c r="F1366">
        <v>-5.0639999999999999E-3</v>
      </c>
      <c r="G1366" t="s">
        <v>212</v>
      </c>
      <c r="I1366">
        <f t="shared" si="70"/>
        <v>2.0368444440730001E-2</v>
      </c>
      <c r="J1366">
        <f t="shared" si="71"/>
        <v>5.4153460440730002E-2</v>
      </c>
      <c r="K1366">
        <f t="shared" si="72"/>
        <v>-5.0645555592700002E-3</v>
      </c>
    </row>
    <row r="1367" spans="1:11" x14ac:dyDescent="0.35">
      <c r="A1367" t="s">
        <v>121</v>
      </c>
      <c r="B1367">
        <v>59328</v>
      </c>
      <c r="C1367">
        <v>3.0890000000000002E-3</v>
      </c>
      <c r="D1367" s="5">
        <v>1.1111283999999999E-6</v>
      </c>
      <c r="E1367">
        <v>8.3725397000000007E-3</v>
      </c>
      <c r="F1367">
        <v>-5.0867999999999997E-2</v>
      </c>
      <c r="G1367" t="s">
        <v>212</v>
      </c>
      <c r="I1367">
        <f t="shared" si="70"/>
        <v>3.0878888716000001E-3</v>
      </c>
      <c r="J1367">
        <f t="shared" si="71"/>
        <v>8.3714285716000002E-3</v>
      </c>
      <c r="K1367">
        <f t="shared" si="72"/>
        <v>-5.0869111128399994E-2</v>
      </c>
    </row>
    <row r="1368" spans="1:11" x14ac:dyDescent="0.35">
      <c r="A1368" t="s">
        <v>122</v>
      </c>
      <c r="B1368">
        <v>59328</v>
      </c>
      <c r="C1368">
        <v>4.5738000000000001E-2</v>
      </c>
      <c r="D1368" s="5">
        <v>2.3611892000000002E-6</v>
      </c>
      <c r="E1368">
        <v>3.5316341000000001E-2</v>
      </c>
      <c r="F1368">
        <v>9.6080000000000002E-3</v>
      </c>
      <c r="G1368" t="s">
        <v>212</v>
      </c>
      <c r="I1368">
        <f t="shared" si="70"/>
        <v>4.5735638810799999E-2</v>
      </c>
      <c r="J1368">
        <f t="shared" si="71"/>
        <v>3.5313979810799999E-2</v>
      </c>
      <c r="K1368">
        <f t="shared" si="72"/>
        <v>9.6056388107999997E-3</v>
      </c>
    </row>
    <row r="1369" spans="1:11" x14ac:dyDescent="0.35">
      <c r="A1369" t="s">
        <v>123</v>
      </c>
      <c r="B1369">
        <v>59328</v>
      </c>
      <c r="C1369">
        <v>9.6863000000000005E-2</v>
      </c>
      <c r="D1369" s="5">
        <v>9.7223551000000005E-7</v>
      </c>
      <c r="E1369">
        <v>1.4946403E-2</v>
      </c>
      <c r="F1369">
        <v>-7.5743000000000005E-2</v>
      </c>
      <c r="G1369" t="s">
        <v>212</v>
      </c>
      <c r="I1369">
        <f t="shared" si="70"/>
        <v>9.6862027764490002E-2</v>
      </c>
      <c r="J1369">
        <f t="shared" si="71"/>
        <v>1.494543076449E-2</v>
      </c>
      <c r="K1369">
        <f t="shared" si="72"/>
        <v>-7.5743972235510007E-2</v>
      </c>
    </row>
    <row r="1370" spans="1:11" x14ac:dyDescent="0.35">
      <c r="A1370" t="s">
        <v>124</v>
      </c>
      <c r="B1370">
        <v>59328</v>
      </c>
      <c r="C1370">
        <v>2.3172999999999999E-2</v>
      </c>
      <c r="D1370" s="5">
        <v>9.7223312000000006E-7</v>
      </c>
      <c r="E1370">
        <v>1.9178807999999999E-2</v>
      </c>
      <c r="F1370">
        <v>-6.1988000000000001E-2</v>
      </c>
      <c r="G1370" t="s">
        <v>212</v>
      </c>
      <c r="I1370">
        <f t="shared" si="70"/>
        <v>2.3172027766879998E-2</v>
      </c>
      <c r="J1370">
        <f t="shared" si="71"/>
        <v>1.9177835766879998E-2</v>
      </c>
      <c r="K1370">
        <f t="shared" si="72"/>
        <v>-6.1988972233119999E-2</v>
      </c>
    </row>
    <row r="1371" spans="1:11" x14ac:dyDescent="0.35">
      <c r="A1371" t="s">
        <v>125</v>
      </c>
      <c r="B1371">
        <v>59328</v>
      </c>
      <c r="C1371">
        <v>-2.0590000000000001E-3</v>
      </c>
      <c r="D1371" s="5">
        <v>5.5555972000000002E-7</v>
      </c>
      <c r="E1371">
        <v>-1.5042944000000001E-2</v>
      </c>
      <c r="F1371">
        <v>-0.11058800000000001</v>
      </c>
      <c r="G1371" t="s">
        <v>212</v>
      </c>
      <c r="I1371">
        <f t="shared" si="70"/>
        <v>-2.0595555597200002E-3</v>
      </c>
      <c r="J1371">
        <f t="shared" si="71"/>
        <v>-1.5043499559720001E-2</v>
      </c>
      <c r="K1371">
        <f t="shared" si="72"/>
        <v>-0.11058855555972001</v>
      </c>
    </row>
    <row r="1372" spans="1:11" x14ac:dyDescent="0.35">
      <c r="A1372" t="s">
        <v>126</v>
      </c>
      <c r="B1372">
        <v>59328</v>
      </c>
      <c r="C1372">
        <v>-3.6937999999999999E-2</v>
      </c>
      <c r="D1372" s="5">
        <v>1.3888915000000001E-7</v>
      </c>
      <c r="E1372">
        <v>5.2630160000000002E-2</v>
      </c>
      <c r="F1372">
        <v>7.4301000000000006E-2</v>
      </c>
      <c r="G1372" t="s">
        <v>212</v>
      </c>
      <c r="I1372">
        <f t="shared" si="70"/>
        <v>-3.6938138889149999E-2</v>
      </c>
      <c r="J1372">
        <f t="shared" si="71"/>
        <v>5.2630021110850002E-2</v>
      </c>
      <c r="K1372">
        <f t="shared" si="72"/>
        <v>7.4300861110850006E-2</v>
      </c>
    </row>
    <row r="1373" spans="1:11" x14ac:dyDescent="0.35">
      <c r="A1373" t="s">
        <v>127</v>
      </c>
      <c r="B1373">
        <v>59328</v>
      </c>
      <c r="C1373">
        <v>-4.8425000000000003E-2</v>
      </c>
      <c r="D1373" s="5">
        <v>2.7777863999999998E-7</v>
      </c>
      <c r="E1373">
        <v>-2.5734027999999999E-2</v>
      </c>
      <c r="F1373">
        <v>5.2047000000000003E-2</v>
      </c>
      <c r="G1373" t="s">
        <v>212</v>
      </c>
      <c r="I1373">
        <f t="shared" si="70"/>
        <v>-4.8425277778640002E-2</v>
      </c>
      <c r="J1373">
        <f t="shared" si="71"/>
        <v>-2.5734305778639999E-2</v>
      </c>
      <c r="K1373">
        <f t="shared" si="72"/>
        <v>5.2046722221360003E-2</v>
      </c>
    </row>
    <row r="1374" spans="1:11" x14ac:dyDescent="0.35">
      <c r="A1374" t="s">
        <v>128</v>
      </c>
      <c r="B1374">
        <v>59328</v>
      </c>
      <c r="C1374">
        <v>4.2812000000000003E-2</v>
      </c>
      <c r="D1374" s="5">
        <v>6.9445092999999996E-7</v>
      </c>
      <c r="E1374">
        <v>3.7508949999999999E-2</v>
      </c>
      <c r="F1374">
        <v>-4.7837999999999999E-2</v>
      </c>
      <c r="G1374" t="s">
        <v>212</v>
      </c>
      <c r="I1374">
        <f t="shared" si="70"/>
        <v>4.2811305549070006E-2</v>
      </c>
      <c r="J1374">
        <f t="shared" si="71"/>
        <v>3.7508255549070002E-2</v>
      </c>
      <c r="K1374">
        <f t="shared" si="72"/>
        <v>-4.7838694450929996E-2</v>
      </c>
    </row>
    <row r="1375" spans="1:11" x14ac:dyDescent="0.35">
      <c r="A1375" t="s">
        <v>129</v>
      </c>
      <c r="B1375">
        <v>59328</v>
      </c>
      <c r="C1375">
        <v>6.7580000000000001E-2</v>
      </c>
      <c r="D1375" s="5">
        <v>6.9445025000000003E-7</v>
      </c>
      <c r="E1375">
        <v>3.5732113000000003E-2</v>
      </c>
      <c r="F1375">
        <v>-3.4329999999999999E-3</v>
      </c>
      <c r="G1375" t="s">
        <v>212</v>
      </c>
      <c r="I1375">
        <f t="shared" si="70"/>
        <v>6.7579305549750002E-2</v>
      </c>
      <c r="J1375">
        <f t="shared" si="71"/>
        <v>3.5731418549750003E-2</v>
      </c>
      <c r="K1375">
        <f t="shared" si="72"/>
        <v>-3.4336944502499998E-3</v>
      </c>
    </row>
    <row r="1376" spans="1:11" x14ac:dyDescent="0.35">
      <c r="A1376" t="s">
        <v>130</v>
      </c>
      <c r="B1376">
        <v>59328</v>
      </c>
      <c r="C1376">
        <v>-1.6551E-2</v>
      </c>
      <c r="D1376" s="5">
        <v>9.7223597000000002E-7</v>
      </c>
      <c r="E1376">
        <v>2.3912761000000001E-2</v>
      </c>
      <c r="F1376">
        <v>-5.5112000000000001E-2</v>
      </c>
      <c r="G1376" t="s">
        <v>212</v>
      </c>
      <c r="I1376">
        <f t="shared" si="70"/>
        <v>-1.6551972235969999E-2</v>
      </c>
      <c r="J1376">
        <f t="shared" si="71"/>
        <v>2.3911788764030002E-2</v>
      </c>
      <c r="K1376">
        <f t="shared" si="72"/>
        <v>-5.5112972235970004E-2</v>
      </c>
    </row>
    <row r="1377" spans="1:11" x14ac:dyDescent="0.35">
      <c r="A1377" t="s">
        <v>131</v>
      </c>
      <c r="B1377">
        <v>59328</v>
      </c>
      <c r="C1377">
        <v>8.8716000000000003E-2</v>
      </c>
      <c r="D1377" s="5">
        <v>1.5278093000000001E-6</v>
      </c>
      <c r="E1377">
        <v>2.6196547000000001E-2</v>
      </c>
      <c r="F1377">
        <v>-3.7945E-2</v>
      </c>
      <c r="G1377" t="s">
        <v>212</v>
      </c>
      <c r="I1377">
        <f t="shared" si="70"/>
        <v>8.87144721907E-2</v>
      </c>
      <c r="J1377">
        <f t="shared" si="71"/>
        <v>2.6195019190700001E-2</v>
      </c>
      <c r="K1377">
        <f t="shared" si="72"/>
        <v>-3.7946527809300003E-2</v>
      </c>
    </row>
    <row r="1378" spans="1:11" x14ac:dyDescent="0.35">
      <c r="A1378" t="s">
        <v>132</v>
      </c>
      <c r="B1378">
        <v>59328</v>
      </c>
      <c r="C1378">
        <v>-5.4517000000000003E-2</v>
      </c>
      <c r="D1378" s="5">
        <v>4.1666865999999999E-7</v>
      </c>
      <c r="E1378">
        <v>-2.9955011E-2</v>
      </c>
      <c r="F1378">
        <v>3.4188999999999997E-2</v>
      </c>
      <c r="G1378" t="s">
        <v>212</v>
      </c>
      <c r="I1378">
        <f t="shared" si="70"/>
        <v>-5.4517416668660001E-2</v>
      </c>
      <c r="J1378">
        <f t="shared" si="71"/>
        <v>-2.9955427668659999E-2</v>
      </c>
      <c r="K1378">
        <f t="shared" si="72"/>
        <v>3.4188583331339999E-2</v>
      </c>
    </row>
    <row r="1379" spans="1:11" x14ac:dyDescent="0.35">
      <c r="A1379" t="s">
        <v>133</v>
      </c>
      <c r="B1379">
        <v>59328</v>
      </c>
      <c r="C1379">
        <v>1.8134000000000001E-2</v>
      </c>
      <c r="D1379" s="5">
        <v>8.3334270999999995E-7</v>
      </c>
      <c r="E1379">
        <v>4.6289820000000002E-2</v>
      </c>
      <c r="F1379">
        <v>6.2702999999999995E-2</v>
      </c>
      <c r="G1379" t="s">
        <v>212</v>
      </c>
      <c r="I1379">
        <f t="shared" si="70"/>
        <v>1.8133166657289999E-2</v>
      </c>
      <c r="J1379">
        <f t="shared" si="71"/>
        <v>4.6288986657290004E-2</v>
      </c>
      <c r="K1379">
        <f t="shared" si="72"/>
        <v>6.270216665728999E-2</v>
      </c>
    </row>
    <row r="1380" spans="1:11" x14ac:dyDescent="0.35">
      <c r="A1380" t="s">
        <v>134</v>
      </c>
      <c r="B1380">
        <v>59328</v>
      </c>
      <c r="C1380">
        <v>4.2569000000000003E-2</v>
      </c>
      <c r="D1380" s="5">
        <v>1.2500211E-6</v>
      </c>
      <c r="E1380">
        <v>4.4357283000000004E-3</v>
      </c>
      <c r="F1380">
        <v>-3.1420999999999998E-2</v>
      </c>
      <c r="G1380" t="s">
        <v>212</v>
      </c>
      <c r="I1380">
        <f t="shared" si="70"/>
        <v>4.2567749978900005E-2</v>
      </c>
      <c r="J1380">
        <f t="shared" si="71"/>
        <v>4.4344782789000007E-3</v>
      </c>
      <c r="K1380">
        <f t="shared" si="72"/>
        <v>-3.1422250021099996E-2</v>
      </c>
    </row>
    <row r="1381" spans="1:11" x14ac:dyDescent="0.35">
      <c r="A1381" t="s">
        <v>135</v>
      </c>
      <c r="B1381">
        <v>59328</v>
      </c>
      <c r="C1381">
        <v>3.3935E-2</v>
      </c>
      <c r="D1381" s="5">
        <v>8.3334168999999996E-7</v>
      </c>
      <c r="E1381">
        <v>1.4230842999999999E-3</v>
      </c>
      <c r="F1381">
        <v>4.9350000000000002E-3</v>
      </c>
      <c r="G1381" t="s">
        <v>212</v>
      </c>
      <c r="I1381">
        <f t="shared" si="70"/>
        <v>3.3934166658309999E-2</v>
      </c>
      <c r="J1381">
        <f t="shared" si="71"/>
        <v>1.4222509583099998E-3</v>
      </c>
      <c r="K1381">
        <f t="shared" si="72"/>
        <v>4.9341666583100005E-3</v>
      </c>
    </row>
    <row r="1382" spans="1:11" x14ac:dyDescent="0.35">
      <c r="A1382" t="s">
        <v>136</v>
      </c>
      <c r="B1382">
        <v>59328</v>
      </c>
      <c r="C1382">
        <v>3.2034E-2</v>
      </c>
      <c r="D1382" s="5">
        <v>5.5555893000000002E-7</v>
      </c>
      <c r="E1382">
        <v>2.0251281999999999E-2</v>
      </c>
      <c r="F1382">
        <v>-3.0509999999999999E-2</v>
      </c>
      <c r="G1382" t="s">
        <v>212</v>
      </c>
      <c r="I1382">
        <f t="shared" si="70"/>
        <v>3.2033444441070001E-2</v>
      </c>
      <c r="J1382">
        <f t="shared" si="71"/>
        <v>2.025072644107E-2</v>
      </c>
      <c r="K1382">
        <f t="shared" si="72"/>
        <v>-3.0510555558929998E-2</v>
      </c>
    </row>
    <row r="1383" spans="1:11" x14ac:dyDescent="0.35">
      <c r="A1383" t="s">
        <v>137</v>
      </c>
      <c r="B1383">
        <v>59328</v>
      </c>
      <c r="C1383">
        <v>0.13103999999999999</v>
      </c>
      <c r="D1383" s="5">
        <v>1.1111276999999999E-6</v>
      </c>
      <c r="E1383">
        <v>2.8027399000000001E-2</v>
      </c>
      <c r="F1383">
        <v>6.3189999999999996E-2</v>
      </c>
      <c r="G1383" t="s">
        <v>212</v>
      </c>
      <c r="I1383">
        <f t="shared" si="70"/>
        <v>0.1310388888723</v>
      </c>
      <c r="J1383">
        <f t="shared" si="71"/>
        <v>2.80262878723E-2</v>
      </c>
      <c r="K1383">
        <f t="shared" si="72"/>
        <v>6.3188888872299995E-2</v>
      </c>
    </row>
    <row r="1384" spans="1:11" x14ac:dyDescent="0.35">
      <c r="A1384" t="s">
        <v>138</v>
      </c>
      <c r="B1384">
        <v>59328</v>
      </c>
      <c r="C1384">
        <v>9.6764000000000003E-2</v>
      </c>
      <c r="D1384" s="5">
        <v>4.1666874000000002E-7</v>
      </c>
      <c r="E1384">
        <v>-2.0529615000000001E-2</v>
      </c>
      <c r="F1384">
        <v>-3.6317000000000002E-2</v>
      </c>
      <c r="G1384" t="s">
        <v>212</v>
      </c>
      <c r="I1384">
        <f t="shared" si="70"/>
        <v>9.6763583331260006E-2</v>
      </c>
      <c r="J1384">
        <f t="shared" si="71"/>
        <v>-2.0530031668740002E-2</v>
      </c>
      <c r="K1384">
        <f t="shared" si="72"/>
        <v>-3.6317416668739999E-2</v>
      </c>
    </row>
    <row r="1385" spans="1:11" x14ac:dyDescent="0.35">
      <c r="A1385" t="s">
        <v>139</v>
      </c>
      <c r="B1385">
        <v>59328</v>
      </c>
      <c r="C1385">
        <v>3.7032000000000002E-2</v>
      </c>
      <c r="D1385" s="5">
        <v>2.0833394000000001E-7</v>
      </c>
      <c r="E1385">
        <v>4.0290773000000002E-2</v>
      </c>
      <c r="F1385">
        <v>3.8089999999999999E-3</v>
      </c>
      <c r="G1385" t="s">
        <v>212</v>
      </c>
      <c r="I1385">
        <f t="shared" si="70"/>
        <v>3.703179166606E-2</v>
      </c>
      <c r="J1385">
        <f t="shared" si="71"/>
        <v>4.029056466606E-2</v>
      </c>
      <c r="K1385">
        <f t="shared" si="72"/>
        <v>3.8087916660599999E-3</v>
      </c>
    </row>
    <row r="1386" spans="1:11" x14ac:dyDescent="0.35">
      <c r="A1386" t="s">
        <v>140</v>
      </c>
      <c r="B1386">
        <v>59328</v>
      </c>
      <c r="C1386">
        <v>-2.8639999999999998E-3</v>
      </c>
      <c r="D1386" s="5">
        <v>5.5555972000000002E-7</v>
      </c>
      <c r="E1386">
        <v>-2.5125346999999999E-2</v>
      </c>
      <c r="F1386">
        <v>-6.1762999999999998E-2</v>
      </c>
      <c r="G1386" t="s">
        <v>212</v>
      </c>
      <c r="I1386">
        <f t="shared" si="70"/>
        <v>-2.8645555597199999E-3</v>
      </c>
      <c r="J1386">
        <f t="shared" si="71"/>
        <v>-2.5125902559719998E-2</v>
      </c>
      <c r="K1386">
        <f t="shared" si="72"/>
        <v>-6.1763555559719997E-2</v>
      </c>
    </row>
    <row r="1387" spans="1:11" x14ac:dyDescent="0.35">
      <c r="A1387" t="s">
        <v>141</v>
      </c>
      <c r="B1387">
        <v>59328</v>
      </c>
      <c r="C1387">
        <v>-2.3262999999999999E-2</v>
      </c>
      <c r="D1387" s="5">
        <v>4.1666865999999999E-7</v>
      </c>
      <c r="E1387">
        <v>3.7308317000000001E-2</v>
      </c>
      <c r="F1387">
        <v>-3.0547999999999999E-2</v>
      </c>
      <c r="G1387" t="s">
        <v>212</v>
      </c>
      <c r="I1387">
        <f t="shared" si="70"/>
        <v>-2.3263416668659997E-2</v>
      </c>
      <c r="J1387">
        <f t="shared" si="71"/>
        <v>3.7307900331340002E-2</v>
      </c>
      <c r="K1387">
        <f t="shared" si="72"/>
        <v>-3.0548416668659997E-2</v>
      </c>
    </row>
    <row r="1388" spans="1:11" x14ac:dyDescent="0.35">
      <c r="A1388" t="s">
        <v>142</v>
      </c>
      <c r="B1388">
        <v>59328</v>
      </c>
      <c r="C1388">
        <v>0.101882</v>
      </c>
      <c r="D1388" s="5">
        <v>2.7777887000000002E-7</v>
      </c>
      <c r="E1388">
        <v>2.0212193999999999E-2</v>
      </c>
      <c r="F1388">
        <v>-4.8820000000000001E-3</v>
      </c>
      <c r="G1388" t="s">
        <v>212</v>
      </c>
      <c r="I1388">
        <f t="shared" si="70"/>
        <v>0.10188172222113</v>
      </c>
      <c r="J1388">
        <f t="shared" si="71"/>
        <v>2.021191622113E-2</v>
      </c>
      <c r="K1388">
        <f t="shared" si="72"/>
        <v>-4.8822777788699997E-3</v>
      </c>
    </row>
    <row r="1389" spans="1:11" x14ac:dyDescent="0.35">
      <c r="A1389" t="s">
        <v>143</v>
      </c>
      <c r="B1389">
        <v>59328</v>
      </c>
      <c r="C1389">
        <v>-2.5772E-2</v>
      </c>
      <c r="D1389" s="5">
        <v>1.1111283999999999E-6</v>
      </c>
      <c r="E1389">
        <v>-3.5814726999999998E-3</v>
      </c>
      <c r="F1389">
        <v>1.3112E-2</v>
      </c>
      <c r="G1389" t="s">
        <v>212</v>
      </c>
      <c r="I1389">
        <f t="shared" si="70"/>
        <v>-2.57731111284E-2</v>
      </c>
      <c r="J1389">
        <f t="shared" si="71"/>
        <v>-3.5825838283999999E-3</v>
      </c>
      <c r="K1389">
        <f t="shared" si="72"/>
        <v>1.31108888716E-2</v>
      </c>
    </row>
    <row r="1390" spans="1:11" x14ac:dyDescent="0.35">
      <c r="A1390" t="s">
        <v>144</v>
      </c>
      <c r="B1390">
        <v>59328</v>
      </c>
      <c r="C1390">
        <v>-8.9555999999999997E-2</v>
      </c>
      <c r="D1390" s="5">
        <v>4.1666856999999999E-7</v>
      </c>
      <c r="E1390">
        <v>-2.7105996E-2</v>
      </c>
      <c r="F1390">
        <v>8.6899000000000004E-2</v>
      </c>
      <c r="G1390" t="s">
        <v>212</v>
      </c>
      <c r="I1390">
        <f t="shared" si="70"/>
        <v>-8.9556416668569991E-2</v>
      </c>
      <c r="J1390">
        <f t="shared" si="71"/>
        <v>-2.7106412668570001E-2</v>
      </c>
      <c r="K1390">
        <f t="shared" si="72"/>
        <v>8.689858333143001E-2</v>
      </c>
    </row>
    <row r="1391" spans="1:11" x14ac:dyDescent="0.35">
      <c r="A1391" t="s">
        <v>145</v>
      </c>
      <c r="B1391">
        <v>59328</v>
      </c>
      <c r="C1391">
        <v>1.362E-2</v>
      </c>
      <c r="D1391" s="5">
        <v>4.1666901999999998E-7</v>
      </c>
      <c r="E1391">
        <v>5.6000657000000002E-2</v>
      </c>
      <c r="F1391">
        <v>-5.9052E-2</v>
      </c>
      <c r="G1391" t="s">
        <v>212</v>
      </c>
      <c r="I1391">
        <f t="shared" si="70"/>
        <v>1.361958333098E-2</v>
      </c>
      <c r="J1391">
        <f t="shared" si="71"/>
        <v>5.600024033098E-2</v>
      </c>
      <c r="K1391">
        <f t="shared" si="72"/>
        <v>-5.9052416669020003E-2</v>
      </c>
    </row>
    <row r="1392" spans="1:11" x14ac:dyDescent="0.35">
      <c r="A1392" t="s">
        <v>146</v>
      </c>
      <c r="B1392">
        <v>59328</v>
      </c>
      <c r="C1392">
        <v>-5.9548999999999998E-2</v>
      </c>
      <c r="D1392" s="5">
        <v>6.9445092999999996E-7</v>
      </c>
      <c r="E1392">
        <v>-1.0326237E-2</v>
      </c>
      <c r="F1392">
        <v>-2.1521999999999999E-2</v>
      </c>
      <c r="G1392" t="s">
        <v>212</v>
      </c>
      <c r="I1392">
        <f t="shared" si="70"/>
        <v>-5.9549694450929995E-2</v>
      </c>
      <c r="J1392">
        <f t="shared" si="71"/>
        <v>-1.0326931450930001E-2</v>
      </c>
      <c r="K1392">
        <f t="shared" si="72"/>
        <v>-2.152269445093E-2</v>
      </c>
    </row>
    <row r="1393" spans="1:11" x14ac:dyDescent="0.35">
      <c r="A1393" t="s">
        <v>147</v>
      </c>
      <c r="B1393">
        <v>59328</v>
      </c>
      <c r="C1393">
        <v>4.0933999999999998E-2</v>
      </c>
      <c r="D1393" s="5">
        <v>6.9444996999999997E-7</v>
      </c>
      <c r="E1393">
        <v>8.6387536000000001E-3</v>
      </c>
      <c r="F1393">
        <v>-1.6720000000000001E-3</v>
      </c>
      <c r="G1393" t="s">
        <v>212</v>
      </c>
      <c r="I1393">
        <f t="shared" si="70"/>
        <v>4.0933305550029997E-2</v>
      </c>
      <c r="J1393">
        <f t="shared" si="71"/>
        <v>8.6380591500300006E-3</v>
      </c>
      <c r="K1393">
        <f t="shared" si="72"/>
        <v>-1.67269444997E-3</v>
      </c>
    </row>
    <row r="1394" spans="1:11" x14ac:dyDescent="0.35">
      <c r="A1394" t="s">
        <v>148</v>
      </c>
      <c r="B1394">
        <v>59328</v>
      </c>
      <c r="C1394">
        <v>6.6052E-2</v>
      </c>
      <c r="D1394" s="5">
        <v>-1.3888861999999999E-7</v>
      </c>
      <c r="E1394">
        <v>1.0356373E-2</v>
      </c>
      <c r="F1394">
        <v>5.5519999999999996E-3</v>
      </c>
      <c r="G1394" t="s">
        <v>212</v>
      </c>
      <c r="I1394">
        <f t="shared" si="70"/>
        <v>6.6052138888619993E-2</v>
      </c>
      <c r="J1394">
        <f t="shared" si="71"/>
        <v>1.0356511888620001E-2</v>
      </c>
      <c r="K1394">
        <f t="shared" si="72"/>
        <v>5.5521388886199995E-3</v>
      </c>
    </row>
    <row r="1395" spans="1:11" x14ac:dyDescent="0.35">
      <c r="A1395" t="s">
        <v>149</v>
      </c>
      <c r="B1395">
        <v>59328</v>
      </c>
      <c r="C1395">
        <v>-0.117382</v>
      </c>
      <c r="D1395" s="5">
        <v>2.7777881000000001E-7</v>
      </c>
      <c r="E1395">
        <v>-1.9239652999999999E-2</v>
      </c>
      <c r="F1395">
        <v>-1.5162E-2</v>
      </c>
      <c r="G1395" t="s">
        <v>212</v>
      </c>
      <c r="I1395">
        <f t="shared" si="70"/>
        <v>-0.11738227777881</v>
      </c>
      <c r="J1395">
        <f t="shared" si="71"/>
        <v>-1.9239930778809998E-2</v>
      </c>
      <c r="K1395">
        <f t="shared" si="72"/>
        <v>-1.5162277778810001E-2</v>
      </c>
    </row>
    <row r="1396" spans="1:11" x14ac:dyDescent="0.35">
      <c r="A1396" t="s">
        <v>150</v>
      </c>
      <c r="B1396">
        <v>59328</v>
      </c>
      <c r="C1396">
        <v>-4.8167000000000001E-2</v>
      </c>
      <c r="D1396" s="5">
        <v>1.3888911E-7</v>
      </c>
      <c r="E1396">
        <v>1.2304676000000001E-2</v>
      </c>
      <c r="F1396">
        <v>-6.6210000000000005E-2</v>
      </c>
      <c r="G1396" t="s">
        <v>212</v>
      </c>
      <c r="I1396">
        <f t="shared" si="70"/>
        <v>-4.8167138889109999E-2</v>
      </c>
      <c r="J1396">
        <f t="shared" si="71"/>
        <v>1.2304537110890001E-2</v>
      </c>
      <c r="K1396">
        <f t="shared" si="72"/>
        <v>-6.621013888911001E-2</v>
      </c>
    </row>
    <row r="1397" spans="1:11" x14ac:dyDescent="0.35">
      <c r="A1397" t="s">
        <v>151</v>
      </c>
      <c r="B1397">
        <v>59328</v>
      </c>
      <c r="C1397">
        <v>-5.8719999999999996E-3</v>
      </c>
      <c r="D1397" s="5">
        <v>8.3334270999999995E-7</v>
      </c>
      <c r="E1397">
        <v>-6.0059883000000001E-2</v>
      </c>
      <c r="F1397">
        <v>3.7072000000000001E-2</v>
      </c>
      <c r="G1397" t="s">
        <v>212</v>
      </c>
      <c r="I1397">
        <f t="shared" si="70"/>
        <v>-5.8728333427099993E-3</v>
      </c>
      <c r="J1397">
        <f t="shared" si="71"/>
        <v>-6.0060716342709999E-2</v>
      </c>
      <c r="K1397">
        <f t="shared" si="72"/>
        <v>3.7071166657290003E-2</v>
      </c>
    </row>
    <row r="1398" spans="1:11" x14ac:dyDescent="0.35">
      <c r="A1398" t="s">
        <v>152</v>
      </c>
      <c r="B1398">
        <v>59328</v>
      </c>
      <c r="C1398">
        <v>5.6062000000000001E-2</v>
      </c>
      <c r="D1398" s="5">
        <v>2.7777869999999999E-7</v>
      </c>
      <c r="E1398">
        <v>-3.3820637000000001E-2</v>
      </c>
      <c r="F1398">
        <v>-1.8010999999999999E-2</v>
      </c>
      <c r="G1398" t="s">
        <v>212</v>
      </c>
      <c r="I1398">
        <f t="shared" si="70"/>
        <v>5.60617222213E-2</v>
      </c>
      <c r="J1398">
        <f t="shared" si="71"/>
        <v>-3.3820914778700001E-2</v>
      </c>
      <c r="K1398">
        <f t="shared" si="72"/>
        <v>-1.8011277778699999E-2</v>
      </c>
    </row>
    <row r="1399" spans="1:11" x14ac:dyDescent="0.35">
      <c r="A1399" t="s">
        <v>153</v>
      </c>
      <c r="B1399">
        <v>59328</v>
      </c>
      <c r="C1399">
        <v>0.12342400000000001</v>
      </c>
      <c r="D1399" s="5">
        <v>-2.7777693000000002E-7</v>
      </c>
      <c r="E1399">
        <v>7.4186891000000005E-2</v>
      </c>
      <c r="F1399">
        <v>2.2834E-2</v>
      </c>
      <c r="G1399" t="s">
        <v>212</v>
      </c>
      <c r="I1399">
        <f t="shared" si="70"/>
        <v>0.12342427777693001</v>
      </c>
      <c r="J1399">
        <f t="shared" si="71"/>
        <v>7.4187168776930004E-2</v>
      </c>
      <c r="K1399">
        <f t="shared" si="72"/>
        <v>2.283427777693E-2</v>
      </c>
    </row>
    <row r="1400" spans="1:11" x14ac:dyDescent="0.35">
      <c r="A1400" t="s">
        <v>154</v>
      </c>
      <c r="B1400">
        <v>59328</v>
      </c>
      <c r="C1400">
        <v>3.3963E-2</v>
      </c>
      <c r="D1400" s="5">
        <v>2.7777887000000002E-7</v>
      </c>
      <c r="E1400">
        <v>6.7570386000000001E-3</v>
      </c>
      <c r="F1400">
        <v>-6.7520999999999998E-2</v>
      </c>
      <c r="G1400" t="s">
        <v>212</v>
      </c>
      <c r="I1400">
        <f t="shared" si="70"/>
        <v>3.3962722221129997E-2</v>
      </c>
      <c r="J1400">
        <f t="shared" si="71"/>
        <v>6.7567608211300005E-3</v>
      </c>
      <c r="K1400">
        <f t="shared" si="72"/>
        <v>-6.7521277778870001E-2</v>
      </c>
    </row>
    <row r="1401" spans="1:11" x14ac:dyDescent="0.35">
      <c r="A1401" t="s">
        <v>155</v>
      </c>
      <c r="B1401">
        <v>59328</v>
      </c>
      <c r="C1401">
        <v>-9.2029999999999994E-3</v>
      </c>
      <c r="D1401" s="5">
        <v>2.7778703E-6</v>
      </c>
      <c r="E1401">
        <v>-2.2346674E-2</v>
      </c>
      <c r="F1401">
        <v>-4.5129999999999997E-3</v>
      </c>
      <c r="G1401" t="s">
        <v>212</v>
      </c>
      <c r="I1401">
        <f t="shared" si="70"/>
        <v>-9.2057778702999988E-3</v>
      </c>
      <c r="J1401">
        <f t="shared" si="71"/>
        <v>-2.2349451870300002E-2</v>
      </c>
      <c r="K1401">
        <f t="shared" si="72"/>
        <v>-4.5157778702999999E-3</v>
      </c>
    </row>
    <row r="1402" spans="1:11" x14ac:dyDescent="0.35">
      <c r="A1402" t="s">
        <v>156</v>
      </c>
      <c r="B1402">
        <v>59328</v>
      </c>
      <c r="C1402">
        <v>-9.9565000000000001E-2</v>
      </c>
      <c r="D1402" s="5">
        <v>3.8891008000000001E-6</v>
      </c>
      <c r="E1402">
        <v>-5.6998282999999997E-2</v>
      </c>
      <c r="F1402">
        <v>5.4101999999999997E-2</v>
      </c>
      <c r="G1402" t="s">
        <v>212</v>
      </c>
      <c r="I1402">
        <f t="shared" si="70"/>
        <v>-9.9568889100800001E-2</v>
      </c>
      <c r="J1402">
        <f t="shared" si="71"/>
        <v>-5.7002172100799997E-2</v>
      </c>
      <c r="K1402">
        <f t="shared" si="72"/>
        <v>5.4098110899199997E-2</v>
      </c>
    </row>
    <row r="1403" spans="1:11" x14ac:dyDescent="0.35">
      <c r="A1403" t="s">
        <v>157</v>
      </c>
      <c r="B1403">
        <v>59328</v>
      </c>
      <c r="C1403">
        <v>-3.7718000000000002E-2</v>
      </c>
      <c r="D1403" s="5">
        <v>6.2505273000000001E-6</v>
      </c>
      <c r="E1403">
        <v>6.8726775000000002E-4</v>
      </c>
      <c r="F1403">
        <v>0.10931200000000001</v>
      </c>
      <c r="G1403" t="s">
        <v>212</v>
      </c>
      <c r="I1403">
        <f t="shared" ref="I1403:I1449" si="73">C1403-D1403</f>
        <v>-3.7724250527300003E-2</v>
      </c>
      <c r="J1403">
        <f t="shared" ref="J1403:J1449" si="74">E1403-D1403</f>
        <v>6.8101722270000006E-4</v>
      </c>
      <c r="K1403">
        <f t="shared" ref="K1403:K1449" si="75">F1403-D1403</f>
        <v>0.10930574947270001</v>
      </c>
    </row>
    <row r="1404" spans="1:11" x14ac:dyDescent="0.35">
      <c r="A1404" t="s">
        <v>158</v>
      </c>
      <c r="B1404">
        <v>59328</v>
      </c>
      <c r="C1404">
        <v>9.3274999999999997E-2</v>
      </c>
      <c r="D1404" s="5">
        <v>6.2504687000000001E-6</v>
      </c>
      <c r="E1404">
        <v>7.0505328000000006E-2</v>
      </c>
      <c r="F1404">
        <v>-8.4290000000000007E-3</v>
      </c>
      <c r="G1404" t="s">
        <v>212</v>
      </c>
      <c r="I1404">
        <f t="shared" si="73"/>
        <v>9.3268749531300002E-2</v>
      </c>
      <c r="J1404">
        <f t="shared" si="74"/>
        <v>7.0499077531300011E-2</v>
      </c>
      <c r="K1404">
        <f t="shared" si="75"/>
        <v>-8.4352504687000007E-3</v>
      </c>
    </row>
    <row r="1405" spans="1:11" x14ac:dyDescent="0.35">
      <c r="A1405" t="s">
        <v>159</v>
      </c>
      <c r="B1405">
        <v>59328</v>
      </c>
      <c r="C1405">
        <v>-6.3988000000000003E-2</v>
      </c>
      <c r="D1405" s="5">
        <v>4.7225344000000004E-6</v>
      </c>
      <c r="E1405">
        <v>1.1831184E-2</v>
      </c>
      <c r="F1405">
        <v>5.1088000000000001E-2</v>
      </c>
      <c r="G1405" t="s">
        <v>212</v>
      </c>
      <c r="I1405">
        <f t="shared" si="73"/>
        <v>-6.3992722534399998E-2</v>
      </c>
      <c r="J1405">
        <f t="shared" si="74"/>
        <v>1.1826461465599999E-2</v>
      </c>
      <c r="K1405">
        <f t="shared" si="75"/>
        <v>5.1083277465599999E-2</v>
      </c>
    </row>
    <row r="1406" spans="1:11" x14ac:dyDescent="0.35">
      <c r="A1406" t="s">
        <v>160</v>
      </c>
      <c r="B1406">
        <v>59328</v>
      </c>
      <c r="C1406">
        <v>5.1848999999999999E-2</v>
      </c>
      <c r="D1406" s="5">
        <v>4.3058058000000002E-6</v>
      </c>
      <c r="E1406">
        <v>1.4391575E-2</v>
      </c>
      <c r="F1406">
        <v>-6.1383E-2</v>
      </c>
      <c r="G1406" t="s">
        <v>212</v>
      </c>
      <c r="I1406">
        <f t="shared" si="73"/>
        <v>5.18446941942E-2</v>
      </c>
      <c r="J1406">
        <f t="shared" si="74"/>
        <v>1.4387269194200001E-2</v>
      </c>
      <c r="K1406">
        <f t="shared" si="75"/>
        <v>-6.1387305805799999E-2</v>
      </c>
    </row>
    <row r="1407" spans="1:11" x14ac:dyDescent="0.35">
      <c r="A1407" t="s">
        <v>161</v>
      </c>
      <c r="B1407">
        <v>59328</v>
      </c>
      <c r="C1407">
        <v>3.8302999999999997E-2</v>
      </c>
      <c r="D1407" s="5">
        <v>5.0002877000000001E-6</v>
      </c>
      <c r="E1407">
        <v>3.1732204000000002E-3</v>
      </c>
      <c r="F1407">
        <v>8.9694999999999997E-2</v>
      </c>
      <c r="G1407" t="s">
        <v>212</v>
      </c>
      <c r="I1407">
        <f t="shared" si="73"/>
        <v>3.8297999712299996E-2</v>
      </c>
      <c r="J1407">
        <f t="shared" si="74"/>
        <v>3.1682201123000003E-3</v>
      </c>
      <c r="K1407">
        <f t="shared" si="75"/>
        <v>8.9689999712300003E-2</v>
      </c>
    </row>
    <row r="1408" spans="1:11" x14ac:dyDescent="0.35">
      <c r="A1408" t="s">
        <v>162</v>
      </c>
      <c r="B1408">
        <v>59328</v>
      </c>
      <c r="C1408">
        <v>6.2805E-2</v>
      </c>
      <c r="D1408" s="5">
        <v>5.1392584999999999E-6</v>
      </c>
      <c r="E1408">
        <v>3.8786817000000001E-2</v>
      </c>
      <c r="F1408">
        <v>1.9847E-2</v>
      </c>
      <c r="G1408" t="s">
        <v>212</v>
      </c>
      <c r="I1408">
        <f t="shared" si="73"/>
        <v>6.2799860741499999E-2</v>
      </c>
      <c r="J1408">
        <f t="shared" si="74"/>
        <v>3.8781677741500001E-2</v>
      </c>
      <c r="K1408">
        <f t="shared" si="75"/>
        <v>1.98418607415E-2</v>
      </c>
    </row>
    <row r="1409" spans="1:11" x14ac:dyDescent="0.35">
      <c r="A1409" t="s">
        <v>163</v>
      </c>
      <c r="B1409">
        <v>59328</v>
      </c>
      <c r="C1409">
        <v>3.7005000000000003E-2</v>
      </c>
      <c r="D1409" s="5">
        <v>5.0003378000000001E-6</v>
      </c>
      <c r="E1409">
        <v>2.7987469999999999E-3</v>
      </c>
      <c r="F1409">
        <v>-3.2563000000000002E-2</v>
      </c>
      <c r="G1409" t="s">
        <v>212</v>
      </c>
      <c r="I1409">
        <f t="shared" si="73"/>
        <v>3.6999999662200002E-2</v>
      </c>
      <c r="J1409">
        <f t="shared" si="74"/>
        <v>2.7937466621999999E-3</v>
      </c>
      <c r="K1409">
        <f t="shared" si="75"/>
        <v>-3.2568000337800003E-2</v>
      </c>
    </row>
    <row r="1410" spans="1:11" x14ac:dyDescent="0.35">
      <c r="A1410" t="s">
        <v>164</v>
      </c>
      <c r="B1410">
        <v>59328</v>
      </c>
      <c r="C1410">
        <v>5.1825000000000003E-2</v>
      </c>
      <c r="D1410" s="5">
        <v>6.8060649000000001E-6</v>
      </c>
      <c r="E1410">
        <v>3.0445021000000002E-3</v>
      </c>
      <c r="F1410">
        <v>6.8919999999999997E-3</v>
      </c>
      <c r="G1410" t="s">
        <v>212</v>
      </c>
      <c r="I1410">
        <f t="shared" si="73"/>
        <v>5.1818193935100003E-2</v>
      </c>
      <c r="J1410">
        <f t="shared" si="74"/>
        <v>3.0376960351E-3</v>
      </c>
      <c r="K1410">
        <f t="shared" si="75"/>
        <v>6.8851939350999996E-3</v>
      </c>
    </row>
    <row r="1411" spans="1:11" x14ac:dyDescent="0.35">
      <c r="A1411" t="s">
        <v>165</v>
      </c>
      <c r="B1411">
        <v>59328</v>
      </c>
      <c r="C1411">
        <v>-7.6290999999999998E-2</v>
      </c>
      <c r="D1411" s="5">
        <v>5.5559721999999998E-6</v>
      </c>
      <c r="E1411">
        <v>-2.7060966999999998E-2</v>
      </c>
      <c r="F1411">
        <v>-2.9448999999999999E-2</v>
      </c>
      <c r="G1411" t="s">
        <v>212</v>
      </c>
      <c r="I1411">
        <f t="shared" si="73"/>
        <v>-7.6296555972200003E-2</v>
      </c>
      <c r="J1411">
        <f t="shared" si="74"/>
        <v>-2.7066522972199997E-2</v>
      </c>
      <c r="K1411">
        <f t="shared" si="75"/>
        <v>-2.9454555972199998E-2</v>
      </c>
    </row>
    <row r="1412" spans="1:11" x14ac:dyDescent="0.35">
      <c r="A1412" t="s">
        <v>166</v>
      </c>
      <c r="B1412">
        <v>59328</v>
      </c>
      <c r="C1412">
        <v>2.581E-3</v>
      </c>
      <c r="D1412" s="5">
        <v>5.0003127000000001E-6</v>
      </c>
      <c r="E1412">
        <v>4.0418684000000003E-2</v>
      </c>
      <c r="F1412">
        <v>-8.3566000000000001E-2</v>
      </c>
      <c r="G1412" t="s">
        <v>212</v>
      </c>
      <c r="I1412">
        <f t="shared" si="73"/>
        <v>2.5759996873000002E-3</v>
      </c>
      <c r="J1412">
        <f t="shared" si="74"/>
        <v>4.04136836873E-2</v>
      </c>
      <c r="K1412">
        <f t="shared" si="75"/>
        <v>-8.3571000312699997E-2</v>
      </c>
    </row>
    <row r="1413" spans="1:11" x14ac:dyDescent="0.35">
      <c r="A1413" t="s">
        <v>167</v>
      </c>
      <c r="B1413">
        <v>59328</v>
      </c>
      <c r="C1413">
        <v>4.5245E-2</v>
      </c>
      <c r="D1413" s="5">
        <v>6.9449747999999996E-6</v>
      </c>
      <c r="E1413">
        <v>1.8747913000000001E-2</v>
      </c>
      <c r="F1413">
        <v>-1.915E-2</v>
      </c>
      <c r="G1413" t="s">
        <v>212</v>
      </c>
      <c r="I1413">
        <f t="shared" si="73"/>
        <v>4.5238055025200001E-2</v>
      </c>
      <c r="J1413">
        <f t="shared" si="74"/>
        <v>1.8740968025200002E-2</v>
      </c>
      <c r="K1413">
        <f t="shared" si="75"/>
        <v>-1.91569449748E-2</v>
      </c>
    </row>
    <row r="1414" spans="1:11" x14ac:dyDescent="0.35">
      <c r="A1414" t="s">
        <v>168</v>
      </c>
      <c r="B1414">
        <v>59328</v>
      </c>
      <c r="C1414">
        <v>1.5164E-2</v>
      </c>
      <c r="D1414" s="5">
        <v>1.2502110000000001E-5</v>
      </c>
      <c r="E1414">
        <v>2.2173285000000001E-2</v>
      </c>
      <c r="F1414">
        <v>5.4191999999999997E-2</v>
      </c>
      <c r="G1414" t="s">
        <v>212</v>
      </c>
      <c r="I1414">
        <f t="shared" si="73"/>
        <v>1.5151497890000001E-2</v>
      </c>
      <c r="J1414">
        <f t="shared" si="74"/>
        <v>2.2160782890000001E-2</v>
      </c>
      <c r="K1414">
        <f t="shared" si="75"/>
        <v>5.4179497889999997E-2</v>
      </c>
    </row>
    <row r="1415" spans="1:11" x14ac:dyDescent="0.35">
      <c r="A1415" t="s">
        <v>169</v>
      </c>
      <c r="B1415">
        <v>59328</v>
      </c>
      <c r="C1415">
        <v>-9.7769999999999992E-3</v>
      </c>
      <c r="D1415" s="5">
        <v>1.3057516E-5</v>
      </c>
      <c r="E1415">
        <v>3.2628167E-2</v>
      </c>
      <c r="F1415">
        <v>3.1848000000000001E-2</v>
      </c>
      <c r="G1415" t="s">
        <v>212</v>
      </c>
      <c r="I1415">
        <f t="shared" si="73"/>
        <v>-9.7900575159999993E-3</v>
      </c>
      <c r="J1415">
        <f t="shared" si="74"/>
        <v>3.2615109484000003E-2</v>
      </c>
      <c r="K1415">
        <f t="shared" si="75"/>
        <v>3.1834942484000005E-2</v>
      </c>
    </row>
    <row r="1416" spans="1:11" x14ac:dyDescent="0.35">
      <c r="A1416" t="s">
        <v>170</v>
      </c>
      <c r="B1416">
        <v>59328</v>
      </c>
      <c r="C1416">
        <v>-3.591E-3</v>
      </c>
      <c r="D1416" s="5">
        <v>1.2223941E-5</v>
      </c>
      <c r="E1416">
        <v>2.0500966000000002E-3</v>
      </c>
      <c r="F1416">
        <v>-4.2770000000000004E-3</v>
      </c>
      <c r="G1416" t="s">
        <v>212</v>
      </c>
      <c r="I1416">
        <f t="shared" si="73"/>
        <v>-3.6032239410000002E-3</v>
      </c>
      <c r="J1416">
        <f t="shared" si="74"/>
        <v>2.037872659E-3</v>
      </c>
      <c r="K1416">
        <f t="shared" si="75"/>
        <v>-4.2892239410000001E-3</v>
      </c>
    </row>
    <row r="1417" spans="1:11" x14ac:dyDescent="0.35">
      <c r="A1417" t="s">
        <v>171</v>
      </c>
      <c r="B1417">
        <v>59328</v>
      </c>
      <c r="C1417">
        <v>2.2179999999999999E-3</v>
      </c>
      <c r="D1417" s="5">
        <v>2.0088781000000001E-5</v>
      </c>
      <c r="E1417">
        <v>9.6190701999999996E-3</v>
      </c>
      <c r="F1417">
        <v>1.7267000000000001E-2</v>
      </c>
      <c r="G1417" t="s">
        <v>212</v>
      </c>
      <c r="I1417">
        <f t="shared" si="73"/>
        <v>2.1979112189999999E-3</v>
      </c>
      <c r="J1417">
        <f t="shared" si="74"/>
        <v>9.5989814189999991E-3</v>
      </c>
      <c r="K1417">
        <f t="shared" si="75"/>
        <v>1.7246911219000002E-2</v>
      </c>
    </row>
    <row r="1418" spans="1:11" x14ac:dyDescent="0.35">
      <c r="A1418" t="s">
        <v>172</v>
      </c>
      <c r="B1418">
        <v>59328</v>
      </c>
      <c r="C1418">
        <v>6.4320000000000002E-3</v>
      </c>
      <c r="D1418" s="5">
        <v>1.8337871999999999E-5</v>
      </c>
      <c r="E1418">
        <v>9.3579440999999996E-3</v>
      </c>
      <c r="F1418">
        <v>-1.242E-3</v>
      </c>
      <c r="G1418" t="s">
        <v>212</v>
      </c>
      <c r="I1418">
        <f t="shared" si="73"/>
        <v>6.413662128E-3</v>
      </c>
      <c r="J1418">
        <f t="shared" si="74"/>
        <v>9.3396062279999994E-3</v>
      </c>
      <c r="K1418">
        <f t="shared" si="75"/>
        <v>-1.260337872E-3</v>
      </c>
    </row>
    <row r="1419" spans="1:11" x14ac:dyDescent="0.35">
      <c r="A1419" t="s">
        <v>173</v>
      </c>
      <c r="B1419">
        <v>59328</v>
      </c>
      <c r="C1419">
        <v>-6.5632999999999997E-2</v>
      </c>
      <c r="D1419" s="5">
        <v>2.0282302999999999E-5</v>
      </c>
      <c r="E1419">
        <v>9.6782167000000006E-3</v>
      </c>
      <c r="F1419">
        <v>-2.1555000000000001E-2</v>
      </c>
      <c r="G1419" t="s">
        <v>212</v>
      </c>
      <c r="I1419">
        <f t="shared" si="73"/>
        <v>-6.5653282302999993E-2</v>
      </c>
      <c r="J1419">
        <f t="shared" si="74"/>
        <v>9.6579343970000005E-3</v>
      </c>
      <c r="K1419">
        <f t="shared" si="75"/>
        <v>-2.1575282303000001E-2</v>
      </c>
    </row>
    <row r="1420" spans="1:11" x14ac:dyDescent="0.35">
      <c r="A1420" t="s">
        <v>174</v>
      </c>
      <c r="B1420">
        <v>59328</v>
      </c>
      <c r="C1420">
        <v>5.1274E-2</v>
      </c>
      <c r="D1420" s="5">
        <v>2.2784785000000001E-5</v>
      </c>
      <c r="E1420">
        <v>1.7181420999999999E-2</v>
      </c>
      <c r="F1420">
        <v>2.3132E-2</v>
      </c>
      <c r="G1420" t="s">
        <v>212</v>
      </c>
      <c r="I1420">
        <f t="shared" si="73"/>
        <v>5.1251215215E-2</v>
      </c>
      <c r="J1420">
        <f t="shared" si="74"/>
        <v>1.7158636214999998E-2</v>
      </c>
      <c r="K1420">
        <f t="shared" si="75"/>
        <v>2.3109215214999999E-2</v>
      </c>
    </row>
    <row r="1421" spans="1:11" x14ac:dyDescent="0.35">
      <c r="A1421" t="s">
        <v>175</v>
      </c>
      <c r="B1421">
        <v>59328</v>
      </c>
      <c r="C1421">
        <v>-3.5950000000000001E-3</v>
      </c>
      <c r="D1421" s="5">
        <v>2.6814181E-5</v>
      </c>
      <c r="E1421">
        <v>1.6129673E-3</v>
      </c>
      <c r="F1421">
        <v>4.1987999999999998E-2</v>
      </c>
      <c r="G1421" t="s">
        <v>212</v>
      </c>
      <c r="I1421">
        <f t="shared" si="73"/>
        <v>-3.6218141810000003E-3</v>
      </c>
      <c r="J1421">
        <f t="shared" si="74"/>
        <v>1.586153119E-3</v>
      </c>
      <c r="K1421">
        <f t="shared" si="75"/>
        <v>4.1961185818999998E-2</v>
      </c>
    </row>
    <row r="1422" spans="1:11" x14ac:dyDescent="0.35">
      <c r="A1422" t="s">
        <v>176</v>
      </c>
      <c r="B1422">
        <v>59328</v>
      </c>
      <c r="C1422">
        <v>8.5828000000000002E-2</v>
      </c>
      <c r="D1422" s="5">
        <v>2.4980956E-5</v>
      </c>
      <c r="E1422">
        <v>2.3813292E-2</v>
      </c>
      <c r="F1422">
        <v>-3.3699E-2</v>
      </c>
      <c r="G1422" t="s">
        <v>212</v>
      </c>
      <c r="I1422">
        <f t="shared" si="73"/>
        <v>8.5803019044000006E-2</v>
      </c>
      <c r="J1422">
        <f t="shared" si="74"/>
        <v>2.3788311044000001E-2</v>
      </c>
      <c r="K1422">
        <f t="shared" si="75"/>
        <v>-3.3723980956000002E-2</v>
      </c>
    </row>
    <row r="1423" spans="1:11" x14ac:dyDescent="0.35">
      <c r="A1423" t="s">
        <v>177</v>
      </c>
      <c r="B1423">
        <v>59328</v>
      </c>
      <c r="C1423">
        <v>0.19459000000000001</v>
      </c>
      <c r="D1423" s="5">
        <v>2.6120319999999999E-5</v>
      </c>
      <c r="E1423">
        <v>2.134813E-2</v>
      </c>
      <c r="F1423">
        <v>-7.4850000000000003E-3</v>
      </c>
      <c r="G1423" t="s">
        <v>212</v>
      </c>
      <c r="I1423">
        <f t="shared" si="73"/>
        <v>0.19456387968000002</v>
      </c>
      <c r="J1423">
        <f t="shared" si="74"/>
        <v>2.132200968E-2</v>
      </c>
      <c r="K1423">
        <f t="shared" si="75"/>
        <v>-7.5111203200000001E-3</v>
      </c>
    </row>
    <row r="1424" spans="1:11" x14ac:dyDescent="0.35">
      <c r="A1424" t="s">
        <v>178</v>
      </c>
      <c r="B1424">
        <v>59328</v>
      </c>
      <c r="C1424">
        <v>-8.2990000000000008E-3</v>
      </c>
      <c r="D1424" s="5">
        <v>2.6814181E-5</v>
      </c>
      <c r="E1424">
        <v>2.7409703000000001E-2</v>
      </c>
      <c r="F1424">
        <v>3.5630000000000002E-3</v>
      </c>
      <c r="G1424" t="s">
        <v>212</v>
      </c>
      <c r="I1424">
        <f t="shared" si="73"/>
        <v>-8.3258141810000005E-3</v>
      </c>
      <c r="J1424">
        <f t="shared" si="74"/>
        <v>2.7382888819000001E-2</v>
      </c>
      <c r="K1424">
        <f t="shared" si="75"/>
        <v>3.536185819E-3</v>
      </c>
    </row>
    <row r="1425" spans="1:11" x14ac:dyDescent="0.35">
      <c r="A1425" t="s">
        <v>179</v>
      </c>
      <c r="B1425">
        <v>59328</v>
      </c>
      <c r="C1425">
        <v>2.9437999999999999E-2</v>
      </c>
      <c r="D1425" s="5">
        <v>3.0985658999999998E-5</v>
      </c>
      <c r="E1425">
        <v>1.2286760000000001E-2</v>
      </c>
      <c r="F1425">
        <v>2.1056999999999999E-2</v>
      </c>
      <c r="G1425" t="s">
        <v>212</v>
      </c>
      <c r="I1425">
        <f t="shared" si="73"/>
        <v>2.9407014340999998E-2</v>
      </c>
      <c r="J1425">
        <f t="shared" si="74"/>
        <v>1.2255774341000001E-2</v>
      </c>
      <c r="K1425">
        <f t="shared" si="75"/>
        <v>2.1026014340999998E-2</v>
      </c>
    </row>
    <row r="1426" spans="1:11" x14ac:dyDescent="0.35">
      <c r="A1426" t="s">
        <v>180</v>
      </c>
      <c r="B1426">
        <v>59328</v>
      </c>
      <c r="C1426">
        <v>4.2894000000000002E-2</v>
      </c>
      <c r="D1426" s="5">
        <v>3.4738506999999999E-5</v>
      </c>
      <c r="E1426">
        <v>5.0687826999999998E-2</v>
      </c>
      <c r="F1426">
        <v>3.2349000000000003E-2</v>
      </c>
      <c r="G1426" t="s">
        <v>212</v>
      </c>
      <c r="I1426">
        <f t="shared" si="73"/>
        <v>4.2859261493000005E-2</v>
      </c>
      <c r="J1426">
        <f t="shared" si="74"/>
        <v>5.0653088493000001E-2</v>
      </c>
      <c r="K1426">
        <f t="shared" si="75"/>
        <v>3.2314261493000006E-2</v>
      </c>
    </row>
    <row r="1427" spans="1:11" x14ac:dyDescent="0.35">
      <c r="A1427" t="s">
        <v>181</v>
      </c>
      <c r="B1427">
        <v>59328</v>
      </c>
      <c r="C1427">
        <v>3.0120999999999998E-2</v>
      </c>
      <c r="D1427" s="5">
        <v>3.2789600999999998E-5</v>
      </c>
      <c r="E1427">
        <v>-3.9435158999999997E-2</v>
      </c>
      <c r="F1427">
        <v>-2.0760000000000001E-2</v>
      </c>
      <c r="G1427" t="s">
        <v>212</v>
      </c>
      <c r="I1427">
        <f t="shared" si="73"/>
        <v>3.0088210398999997E-2</v>
      </c>
      <c r="J1427">
        <f t="shared" si="74"/>
        <v>-3.9467948600999996E-2</v>
      </c>
      <c r="K1427">
        <f t="shared" si="75"/>
        <v>-2.0792789601000002E-2</v>
      </c>
    </row>
    <row r="1428" spans="1:11" x14ac:dyDescent="0.35">
      <c r="A1428" t="s">
        <v>182</v>
      </c>
      <c r="B1428">
        <v>59328</v>
      </c>
      <c r="C1428">
        <v>5.6604000000000002E-2</v>
      </c>
      <c r="D1428" s="5">
        <v>3.7376473999999999E-5</v>
      </c>
      <c r="E1428">
        <v>-1.8494523999999998E-2</v>
      </c>
      <c r="F1428">
        <v>6.3200000000000001E-3</v>
      </c>
      <c r="G1428" t="s">
        <v>212</v>
      </c>
      <c r="I1428">
        <f t="shared" si="73"/>
        <v>5.6566623526000004E-2</v>
      </c>
      <c r="J1428">
        <f t="shared" si="74"/>
        <v>-1.8531900473999999E-2</v>
      </c>
      <c r="K1428">
        <f t="shared" si="75"/>
        <v>6.2826235259999998E-3</v>
      </c>
    </row>
    <row r="1429" spans="1:11" x14ac:dyDescent="0.35">
      <c r="A1429" t="s">
        <v>183</v>
      </c>
      <c r="B1429">
        <v>59328</v>
      </c>
      <c r="C1429">
        <v>-8.8330000000000006E-3</v>
      </c>
      <c r="D1429" s="5">
        <v>4.4472123E-5</v>
      </c>
      <c r="E1429">
        <v>4.8402747999999997E-3</v>
      </c>
      <c r="F1429">
        <v>-9.5399999999999999E-3</v>
      </c>
      <c r="G1429" t="s">
        <v>212</v>
      </c>
      <c r="I1429">
        <f t="shared" si="73"/>
        <v>-8.8774721229999999E-3</v>
      </c>
      <c r="J1429">
        <f t="shared" si="74"/>
        <v>4.7958026769999995E-3</v>
      </c>
      <c r="K1429">
        <f t="shared" si="75"/>
        <v>-9.5844721229999992E-3</v>
      </c>
    </row>
    <row r="1430" spans="1:11" x14ac:dyDescent="0.35">
      <c r="A1430" t="s">
        <v>184</v>
      </c>
      <c r="B1430">
        <v>59328</v>
      </c>
      <c r="C1430">
        <v>7.5164999999999996E-2</v>
      </c>
      <c r="D1430" s="5">
        <v>4.5024317000000002E-5</v>
      </c>
      <c r="E1430">
        <v>2.6277516000000001E-2</v>
      </c>
      <c r="F1430">
        <v>-1.1958999999999999E-2</v>
      </c>
      <c r="G1430" t="s">
        <v>212</v>
      </c>
      <c r="I1430">
        <f t="shared" si="73"/>
        <v>7.5119975682999995E-2</v>
      </c>
      <c r="J1430">
        <f t="shared" si="74"/>
        <v>2.6232491683E-2</v>
      </c>
      <c r="K1430">
        <f t="shared" si="75"/>
        <v>-1.2004024316999999E-2</v>
      </c>
    </row>
    <row r="1431" spans="1:11" x14ac:dyDescent="0.35">
      <c r="A1431" t="s">
        <v>185</v>
      </c>
      <c r="B1431">
        <v>59328</v>
      </c>
      <c r="C1431">
        <v>-9.9457000000000004E-2</v>
      </c>
      <c r="D1431" s="5">
        <v>4.7670687999999998E-5</v>
      </c>
      <c r="E1431">
        <v>5.2912380000000002E-3</v>
      </c>
      <c r="F1431">
        <v>-3.6149000000000001E-2</v>
      </c>
      <c r="G1431" t="s">
        <v>212</v>
      </c>
      <c r="I1431">
        <f t="shared" si="73"/>
        <v>-9.9504670688000008E-2</v>
      </c>
      <c r="J1431">
        <f t="shared" si="74"/>
        <v>5.2435673119999998E-3</v>
      </c>
      <c r="K1431">
        <f t="shared" si="75"/>
        <v>-3.6196670687999997E-2</v>
      </c>
    </row>
    <row r="1432" spans="1:11" x14ac:dyDescent="0.35">
      <c r="A1432" t="s">
        <v>186</v>
      </c>
      <c r="B1432">
        <v>59328</v>
      </c>
      <c r="C1432">
        <v>-3.2388E-2</v>
      </c>
      <c r="D1432" s="5">
        <v>4.8086759999999999E-5</v>
      </c>
      <c r="E1432">
        <v>3.1689063000000003E-2</v>
      </c>
      <c r="F1432">
        <v>-2.2419000000000001E-2</v>
      </c>
      <c r="G1432" t="s">
        <v>212</v>
      </c>
      <c r="I1432">
        <f t="shared" si="73"/>
        <v>-3.2436086760000003E-2</v>
      </c>
      <c r="J1432">
        <f t="shared" si="74"/>
        <v>3.164097624E-2</v>
      </c>
      <c r="K1432">
        <f t="shared" si="75"/>
        <v>-2.2467086760000001E-2</v>
      </c>
    </row>
    <row r="1433" spans="1:11" x14ac:dyDescent="0.35">
      <c r="A1433" t="s">
        <v>187</v>
      </c>
      <c r="B1433">
        <v>59328</v>
      </c>
      <c r="C1433">
        <v>1.3098E-2</v>
      </c>
      <c r="D1433" s="5">
        <v>5.1975497999999999E-5</v>
      </c>
      <c r="E1433">
        <v>3.0351875E-2</v>
      </c>
      <c r="F1433">
        <v>-2.1381000000000001E-2</v>
      </c>
      <c r="G1433" t="s">
        <v>212</v>
      </c>
      <c r="I1433">
        <f t="shared" si="73"/>
        <v>1.3046024502E-2</v>
      </c>
      <c r="J1433">
        <f t="shared" si="74"/>
        <v>3.0299899501999999E-2</v>
      </c>
      <c r="K1433">
        <f t="shared" si="75"/>
        <v>-2.1432975498000002E-2</v>
      </c>
    </row>
    <row r="1434" spans="1:11" x14ac:dyDescent="0.35">
      <c r="A1434" t="s">
        <v>188</v>
      </c>
      <c r="B1434">
        <v>59328</v>
      </c>
      <c r="C1434">
        <v>-2.3539000000000001E-2</v>
      </c>
      <c r="D1434" s="5">
        <v>5.2954507000000002E-5</v>
      </c>
      <c r="E1434">
        <v>4.7995379999999998E-4</v>
      </c>
      <c r="F1434">
        <v>-6.607E-3</v>
      </c>
      <c r="G1434" t="s">
        <v>212</v>
      </c>
      <c r="I1434">
        <f t="shared" si="73"/>
        <v>-2.3591954506999999E-2</v>
      </c>
      <c r="J1434">
        <f t="shared" si="74"/>
        <v>4.2699929299999998E-4</v>
      </c>
      <c r="K1434">
        <f t="shared" si="75"/>
        <v>-6.6599545070000002E-3</v>
      </c>
    </row>
    <row r="1435" spans="1:11" x14ac:dyDescent="0.35">
      <c r="A1435" t="s">
        <v>189</v>
      </c>
      <c r="B1435">
        <v>59328</v>
      </c>
      <c r="C1435">
        <v>-8.6700000000000006E-3</v>
      </c>
      <c r="D1435" s="5">
        <v>5.7961999000000002E-5</v>
      </c>
      <c r="E1435">
        <v>-7.2749645000000002E-2</v>
      </c>
      <c r="F1435">
        <v>2.1194999999999999E-2</v>
      </c>
      <c r="G1435" t="s">
        <v>212</v>
      </c>
      <c r="I1435">
        <f t="shared" si="73"/>
        <v>-8.7279619990000001E-3</v>
      </c>
      <c r="J1435">
        <f t="shared" si="74"/>
        <v>-7.2807606999000005E-2</v>
      </c>
      <c r="K1435">
        <f t="shared" si="75"/>
        <v>2.1137038000999999E-2</v>
      </c>
    </row>
    <row r="1436" spans="1:11" x14ac:dyDescent="0.35">
      <c r="A1436" t="s">
        <v>190</v>
      </c>
      <c r="B1436">
        <v>59328</v>
      </c>
      <c r="C1436">
        <v>5.8234000000000001E-2</v>
      </c>
      <c r="D1436" s="5">
        <v>5.9763279E-5</v>
      </c>
      <c r="E1436">
        <v>4.4112142E-2</v>
      </c>
      <c r="F1436">
        <v>3.3869999999999998E-3</v>
      </c>
      <c r="G1436" t="s">
        <v>212</v>
      </c>
      <c r="I1436">
        <f t="shared" si="73"/>
        <v>5.8174236721E-2</v>
      </c>
      <c r="J1436">
        <f t="shared" si="74"/>
        <v>4.4052378720999999E-2</v>
      </c>
      <c r="K1436">
        <f t="shared" si="75"/>
        <v>3.3272367209999996E-3</v>
      </c>
    </row>
    <row r="1437" spans="1:11" x14ac:dyDescent="0.35">
      <c r="A1437" t="s">
        <v>191</v>
      </c>
      <c r="B1437">
        <v>59328</v>
      </c>
      <c r="C1437">
        <v>-4.8266000000000003E-2</v>
      </c>
      <c r="D1437" s="5">
        <v>6.1300699999999994E-5</v>
      </c>
      <c r="E1437">
        <v>-7.4872575999999996E-2</v>
      </c>
      <c r="F1437">
        <v>4.9419999999999999E-2</v>
      </c>
      <c r="G1437" t="s">
        <v>212</v>
      </c>
      <c r="I1437">
        <f t="shared" si="73"/>
        <v>-4.8327300700000006E-2</v>
      </c>
      <c r="J1437">
        <f t="shared" si="74"/>
        <v>-7.4933876699999999E-2</v>
      </c>
      <c r="K1437">
        <f t="shared" si="75"/>
        <v>4.9358699299999996E-2</v>
      </c>
    </row>
    <row r="1438" spans="1:11" x14ac:dyDescent="0.35">
      <c r="A1438" t="s">
        <v>192</v>
      </c>
      <c r="B1438">
        <v>59328</v>
      </c>
      <c r="C1438">
        <v>4.0489999999999996E-3</v>
      </c>
      <c r="D1438" s="5">
        <v>6.2691921000000006E-5</v>
      </c>
      <c r="E1438">
        <v>8.8008939999999994E-2</v>
      </c>
      <c r="F1438">
        <v>2.8865999999999999E-2</v>
      </c>
      <c r="G1438" t="s">
        <v>212</v>
      </c>
      <c r="I1438">
        <f t="shared" si="73"/>
        <v>3.9863080789999993E-3</v>
      </c>
      <c r="J1438">
        <f t="shared" si="74"/>
        <v>8.7946248078999992E-2</v>
      </c>
      <c r="K1438">
        <f t="shared" si="75"/>
        <v>2.8803308079000001E-2</v>
      </c>
    </row>
    <row r="1439" spans="1:11" x14ac:dyDescent="0.35">
      <c r="A1439" t="s">
        <v>193</v>
      </c>
      <c r="B1439">
        <v>59328</v>
      </c>
      <c r="C1439">
        <v>0.13062399999999999</v>
      </c>
      <c r="D1439" s="5">
        <v>6.5894084000000006E-5</v>
      </c>
      <c r="E1439">
        <v>3.2714512000000001E-2</v>
      </c>
      <c r="F1439">
        <v>-6.0920000000000002E-3</v>
      </c>
      <c r="G1439" t="s">
        <v>212</v>
      </c>
      <c r="I1439">
        <f t="shared" si="73"/>
        <v>0.13055810591599998</v>
      </c>
      <c r="J1439">
        <f t="shared" si="74"/>
        <v>3.2648617916000003E-2</v>
      </c>
      <c r="K1439">
        <f t="shared" si="75"/>
        <v>-6.1578940840000002E-3</v>
      </c>
    </row>
    <row r="1440" spans="1:11" x14ac:dyDescent="0.35">
      <c r="A1440" t="s">
        <v>194</v>
      </c>
      <c r="B1440">
        <v>59328</v>
      </c>
      <c r="C1440">
        <v>1.3972999999999999E-2</v>
      </c>
      <c r="D1440" s="5">
        <v>6.4920080999999997E-5</v>
      </c>
      <c r="E1440">
        <v>1.3366196E-2</v>
      </c>
      <c r="F1440">
        <v>-1.5969000000000001E-2</v>
      </c>
      <c r="G1440" t="s">
        <v>212</v>
      </c>
      <c r="I1440">
        <f t="shared" si="73"/>
        <v>1.3908079919E-2</v>
      </c>
      <c r="J1440">
        <f t="shared" si="74"/>
        <v>1.3301275919000001E-2</v>
      </c>
      <c r="K1440">
        <f t="shared" si="75"/>
        <v>-1.6033920081000002E-2</v>
      </c>
    </row>
    <row r="1441" spans="1:11" x14ac:dyDescent="0.35">
      <c r="A1441" t="s">
        <v>195</v>
      </c>
      <c r="B1441">
        <v>59328</v>
      </c>
      <c r="C1441">
        <v>-4.9534000000000002E-2</v>
      </c>
      <c r="D1441" s="5">
        <v>6.4361448000000001E-5</v>
      </c>
      <c r="E1441">
        <v>3.7867329999999998E-2</v>
      </c>
      <c r="F1441">
        <v>-6.6389999999999999E-3</v>
      </c>
      <c r="G1441" t="s">
        <v>212</v>
      </c>
      <c r="I1441">
        <f t="shared" si="73"/>
        <v>-4.9598361447999999E-2</v>
      </c>
      <c r="J1441">
        <f t="shared" si="74"/>
        <v>3.7802968552000001E-2</v>
      </c>
      <c r="K1441">
        <f t="shared" si="75"/>
        <v>-6.7033614479999996E-3</v>
      </c>
    </row>
    <row r="1442" spans="1:11" x14ac:dyDescent="0.35">
      <c r="A1442" t="s">
        <v>196</v>
      </c>
      <c r="B1442">
        <v>59328</v>
      </c>
      <c r="C1442">
        <v>-0.13097600000000001</v>
      </c>
      <c r="D1442" s="5">
        <v>6.5744126999999993E-5</v>
      </c>
      <c r="E1442">
        <v>-6.1593663E-2</v>
      </c>
      <c r="F1442">
        <v>1.7573999999999999E-2</v>
      </c>
      <c r="G1442" t="s">
        <v>212</v>
      </c>
      <c r="I1442">
        <f t="shared" si="73"/>
        <v>-0.13104174412700001</v>
      </c>
      <c r="J1442">
        <f t="shared" si="74"/>
        <v>-6.1659407127E-2</v>
      </c>
      <c r="K1442">
        <f t="shared" si="75"/>
        <v>1.7508255872999999E-2</v>
      </c>
    </row>
    <row r="1443" spans="1:11" x14ac:dyDescent="0.35">
      <c r="A1443" t="s">
        <v>197</v>
      </c>
      <c r="B1443">
        <v>59328</v>
      </c>
      <c r="C1443">
        <v>8.6966000000000002E-2</v>
      </c>
      <c r="D1443" s="5">
        <v>6.2413674000000004E-5</v>
      </c>
      <c r="E1443">
        <v>6.7385903999999996E-2</v>
      </c>
      <c r="F1443">
        <v>8.0029000000000003E-2</v>
      </c>
      <c r="G1443" t="s">
        <v>212</v>
      </c>
      <c r="I1443">
        <f t="shared" si="73"/>
        <v>8.6903586325999996E-2</v>
      </c>
      <c r="J1443">
        <f t="shared" si="74"/>
        <v>6.7323490325999991E-2</v>
      </c>
      <c r="K1443">
        <f t="shared" si="75"/>
        <v>7.9966586325999997E-2</v>
      </c>
    </row>
    <row r="1444" spans="1:11" x14ac:dyDescent="0.35">
      <c r="A1444" t="s">
        <v>198</v>
      </c>
      <c r="B1444">
        <v>59328</v>
      </c>
      <c r="C1444">
        <v>5.5985E-2</v>
      </c>
      <c r="D1444" s="5">
        <v>5.4067222999999999E-5</v>
      </c>
      <c r="E1444">
        <v>1.3151872E-2</v>
      </c>
      <c r="F1444">
        <v>7.4999999999999993E-5</v>
      </c>
      <c r="G1444" t="s">
        <v>212</v>
      </c>
      <c r="I1444">
        <f t="shared" si="73"/>
        <v>5.5930932777000002E-2</v>
      </c>
      <c r="J1444">
        <f t="shared" si="74"/>
        <v>1.3097804777E-2</v>
      </c>
      <c r="K1444">
        <f t="shared" si="75"/>
        <v>2.0932776999999994E-5</v>
      </c>
    </row>
    <row r="1445" spans="1:11" x14ac:dyDescent="0.35">
      <c r="A1445" t="s">
        <v>199</v>
      </c>
      <c r="B1445">
        <v>59328</v>
      </c>
      <c r="C1445">
        <v>-5.5884999999999997E-2</v>
      </c>
      <c r="D1445" s="5">
        <v>5.5450476999999997E-5</v>
      </c>
      <c r="E1445">
        <v>-2.0256182000000001E-2</v>
      </c>
      <c r="F1445">
        <v>7.9122999999999999E-2</v>
      </c>
      <c r="G1445" t="s">
        <v>212</v>
      </c>
      <c r="I1445">
        <f t="shared" si="73"/>
        <v>-5.5940450476999998E-2</v>
      </c>
      <c r="J1445">
        <f t="shared" si="74"/>
        <v>-2.0311632477000002E-2</v>
      </c>
      <c r="K1445">
        <f t="shared" si="75"/>
        <v>7.9067549523000005E-2</v>
      </c>
    </row>
    <row r="1446" spans="1:11" x14ac:dyDescent="0.35">
      <c r="A1446" t="s">
        <v>200</v>
      </c>
      <c r="B1446">
        <v>59328</v>
      </c>
      <c r="C1446">
        <v>8.6901000000000006E-2</v>
      </c>
      <c r="D1446" s="5">
        <v>5.3928131999999997E-5</v>
      </c>
      <c r="E1446">
        <v>1.5959764000000001E-2</v>
      </c>
      <c r="F1446">
        <v>-3.3947999999999999E-2</v>
      </c>
      <c r="G1446" t="s">
        <v>212</v>
      </c>
      <c r="I1446">
        <f t="shared" si="73"/>
        <v>8.6847071868000003E-2</v>
      </c>
      <c r="J1446">
        <f t="shared" si="74"/>
        <v>1.5905835868000002E-2</v>
      </c>
      <c r="K1446">
        <f t="shared" si="75"/>
        <v>-3.4001928132000002E-2</v>
      </c>
    </row>
    <row r="1447" spans="1:11" x14ac:dyDescent="0.35">
      <c r="A1447" t="s">
        <v>201</v>
      </c>
      <c r="B1447">
        <v>59328</v>
      </c>
      <c r="C1447">
        <v>9.7031000000000006E-2</v>
      </c>
      <c r="D1447" s="5">
        <v>4.7833000000000001E-5</v>
      </c>
      <c r="E1447">
        <v>2.0895692E-2</v>
      </c>
      <c r="F1447">
        <v>2.5635000000000002E-2</v>
      </c>
      <c r="G1447" t="s">
        <v>212</v>
      </c>
      <c r="I1447">
        <f t="shared" si="73"/>
        <v>9.6983167000000009E-2</v>
      </c>
      <c r="J1447">
        <f t="shared" si="74"/>
        <v>2.0847859E-2</v>
      </c>
      <c r="K1447">
        <f t="shared" si="75"/>
        <v>2.5587167000000001E-2</v>
      </c>
    </row>
    <row r="1448" spans="1:11" x14ac:dyDescent="0.35">
      <c r="A1448" t="s">
        <v>202</v>
      </c>
      <c r="B1448">
        <v>59328</v>
      </c>
      <c r="C1448">
        <v>3.2460999999999997E-2</v>
      </c>
      <c r="D1448" s="5">
        <v>4.0996583E-5</v>
      </c>
      <c r="E1448">
        <v>3.6646235999999999E-2</v>
      </c>
      <c r="F1448">
        <v>-3.2086000000000003E-2</v>
      </c>
      <c r="G1448" t="s">
        <v>212</v>
      </c>
      <c r="I1448">
        <f t="shared" si="73"/>
        <v>3.2420003417E-2</v>
      </c>
      <c r="J1448">
        <f t="shared" si="74"/>
        <v>3.6605239417000002E-2</v>
      </c>
      <c r="K1448">
        <f t="shared" si="75"/>
        <v>-3.2126996583E-2</v>
      </c>
    </row>
    <row r="1449" spans="1:11" x14ac:dyDescent="0.35">
      <c r="A1449" t="s">
        <v>203</v>
      </c>
      <c r="B1449">
        <v>59328</v>
      </c>
      <c r="C1449">
        <v>3.1008000000000001E-2</v>
      </c>
      <c r="D1449" s="5">
        <v>4.2802500999999998E-5</v>
      </c>
      <c r="E1449">
        <v>2.8492387000000001E-2</v>
      </c>
      <c r="F1449">
        <v>3.6559000000000001E-2</v>
      </c>
      <c r="G1449" t="s">
        <v>212</v>
      </c>
      <c r="I1449">
        <f t="shared" si="73"/>
        <v>3.0965197499000001E-2</v>
      </c>
      <c r="J1449">
        <f t="shared" si="74"/>
        <v>2.8449584499000001E-2</v>
      </c>
      <c r="K1449">
        <f t="shared" si="75"/>
        <v>3.6516197499000001E-2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1"/>
  <sheetViews>
    <sheetView topLeftCell="A4" workbookViewId="0">
      <selection activeCell="G17" sqref="G17"/>
    </sheetView>
  </sheetViews>
  <sheetFormatPr defaultRowHeight="14.5" x14ac:dyDescent="0.35"/>
  <cols>
    <col min="1" max="1" width="19.1796875" customWidth="1"/>
    <col min="2" max="2" width="14.08984375" customWidth="1"/>
    <col min="3" max="3" width="13.81640625" customWidth="1"/>
  </cols>
  <sheetData>
    <row r="2" spans="1:3" x14ac:dyDescent="0.35">
      <c r="A2" t="s">
        <v>231</v>
      </c>
    </row>
    <row r="4" spans="1:3" x14ac:dyDescent="0.35">
      <c r="A4" t="s">
        <v>232</v>
      </c>
    </row>
    <row r="5" spans="1:3" x14ac:dyDescent="0.35">
      <c r="A5" s="1" t="s">
        <v>227</v>
      </c>
      <c r="B5" s="14">
        <v>7.4999999999999997E-3</v>
      </c>
    </row>
    <row r="6" spans="1:3" x14ac:dyDescent="0.35">
      <c r="A6" s="1" t="s">
        <v>228</v>
      </c>
      <c r="B6" s="14">
        <v>1.5E-3</v>
      </c>
    </row>
    <row r="8" spans="1:3" x14ac:dyDescent="0.35">
      <c r="A8" t="s">
        <v>233</v>
      </c>
    </row>
    <row r="13" spans="1:3" x14ac:dyDescent="0.35">
      <c r="A13" s="15"/>
      <c r="B13" s="20" t="s">
        <v>230</v>
      </c>
      <c r="C13" s="20"/>
    </row>
    <row r="14" spans="1:3" x14ac:dyDescent="0.35">
      <c r="B14" s="2" t="s">
        <v>229</v>
      </c>
      <c r="C14" s="2" t="s">
        <v>227</v>
      </c>
    </row>
    <row r="15" spans="1:3" x14ac:dyDescent="0.35">
      <c r="A15" t="s">
        <v>225</v>
      </c>
      <c r="B15" s="17">
        <v>1.751020411818786</v>
      </c>
      <c r="C15" s="17">
        <v>0.18936310925144212</v>
      </c>
    </row>
    <row r="16" spans="1:3" x14ac:dyDescent="0.35">
      <c r="A16" s="16" t="s">
        <v>226</v>
      </c>
      <c r="B16" s="18">
        <v>-0.16810212144265191</v>
      </c>
      <c r="C16" s="18">
        <v>0.98185684983903387</v>
      </c>
    </row>
    <row r="19" spans="1:4" x14ac:dyDescent="0.35">
      <c r="A19" t="s">
        <v>234</v>
      </c>
      <c r="D19" s="19">
        <f>B5*C16+B6*B16</f>
        <v>7.1117731916287754E-3</v>
      </c>
    </row>
    <row r="21" spans="1:4" x14ac:dyDescent="0.35">
      <c r="A21" t="s">
        <v>235</v>
      </c>
      <c r="D21" s="19">
        <f>B5*C15+B6*B15</f>
        <v>4.0467539371139951E-3</v>
      </c>
    </row>
  </sheetData>
  <mergeCells count="1">
    <mergeCell ref="B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Return Data</vt:lpstr>
      <vt:lpstr>Forecasting Expected Returns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Bulgari</dc:creator>
  <cp:lastModifiedBy>Bill Bulgari</cp:lastModifiedBy>
  <dcterms:created xsi:type="dcterms:W3CDTF">2020-10-31T22:25:48Z</dcterms:created>
  <dcterms:modified xsi:type="dcterms:W3CDTF">2026-05-24T22:41:16Z</dcterms:modified>
</cp:coreProperties>
</file>